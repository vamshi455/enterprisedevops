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ccess requests" sheetId="2" state="visible" r:id="rId4"/>
    <sheet name="Names to return" sheetId="3" state="visible" r:id="rId5"/>
    <sheet name="Open questions" sheetId="4" state="visible" r:id="rId6"/>
  </sheets>
  <definedNames>
    <definedName function="false" hidden="true" localSheetId="1" name="_xlnm._FilterDatabase" vbProcedure="false">'Access requests'!$A$1:$P$48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<sst xmlns="http://schemas.openxmlformats.org/spreadsheetml/2006/main" count="597" uniqueCount="301">
  <si>
    <t xml:space="preserve">Shell data platform – access requests for the new DevOps process</t>
  </si>
  <si>
    <t xml:space="preserve">Repo: &lt;shell-org&gt;/shell-data-platform · GitHub Actions · Azure Boards · ADF · Databricks Asset Bundles · Azure SQL config DB · Requested by Vamshi Singam</t>
  </si>
  <si>
    <t xml:space="preserve">How to use</t>
  </si>
  <si>
    <t xml:space="preserve">1. 'Access requests' has one row per permission. Columns M–P (yellow) are for the admin: set Status, your name, date, comments.</t>
  </si>
  <si>
    <t xml:space="preserve">2. Filter column C ('Granted by') to see only the rows your team owns.</t>
  </si>
  <si>
    <t xml:space="preserve">3. Phase P1 rows block the start of development; P2 rows are needed before the first QA release; P3 before the first PROD release.</t>
  </si>
  <si>
    <t xml:space="preserve">4. 'Names to return' lists the resource names and IDs we need back (yellow cells).</t>
  </si>
  <si>
    <t xml:space="preserve">5. 'Open questions' must be answered first: several rows depend on them (see Notes column).</t>
  </si>
  <si>
    <t xml:space="preserve">No passwords or secrets are requested for Azure: GitHub signs in with the existing managed identities through federated credentials.</t>
  </si>
  <si>
    <t xml:space="preserve">Summary by owner</t>
  </si>
  <si>
    <t xml:space="preserve">Granted by</t>
  </si>
  <si>
    <t xml:space="preserve">Total</t>
  </si>
  <si>
    <t xml:space="preserve">P1 rows</t>
  </si>
  <si>
    <t xml:space="preserve">Granted</t>
  </si>
  <si>
    <t xml:space="preserve">Open</t>
  </si>
  <si>
    <t xml:space="preserve">GitHub org owner</t>
  </si>
  <si>
    <t xml:space="preserve">Entra ID admin / identity owner</t>
  </si>
  <si>
    <t xml:space="preserve">Azure subscription owner (RBAC)</t>
  </si>
  <si>
    <t xml:space="preserve">Azure SQL server Entra admin</t>
  </si>
  <si>
    <t xml:space="preserve">Databricks account admin</t>
  </si>
  <si>
    <t xml:space="preserve">Databricks workspace admin / UC catalog owner</t>
  </si>
  <si>
    <t xml:space="preserve">Azure DevOps (Boards) project admin</t>
  </si>
  <si>
    <t xml:space="preserve">ServiceNow platform admin</t>
  </si>
  <si>
    <t xml:space="preserve">Network / cloud platform team</t>
  </si>
  <si>
    <t xml:space="preserve">Existing data/DevOps team (information)</t>
  </si>
  <si>
    <t xml:space="preserve">Phases</t>
  </si>
  <si>
    <t xml:space="preserve">P1: Start building: DEV, feature-branch testing, PR checks</t>
  </si>
  <si>
    <t xml:space="preserve">P2: First release to QA and UAT</t>
  </si>
  <si>
    <t xml:space="preserve">P3: First release to PROD</t>
  </si>
  <si>
    <t xml:space="preserve">Legend: ● = applies to that environment · yellow cells = for the admin to fill in</t>
  </si>
  <si>
    <t xml:space="preserve">ID</t>
  </si>
  <si>
    <t xml:space="preserve">Area</t>
  </si>
  <si>
    <t xml:space="preserve">Principal / target</t>
  </si>
  <si>
    <t xml:space="preserve">DEV</t>
  </si>
  <si>
    <t xml:space="preserve">QA</t>
  </si>
  <si>
    <t xml:space="preserve">UAT</t>
  </si>
  <si>
    <t xml:space="preserve">PROD</t>
  </si>
  <si>
    <t xml:space="preserve">Permission / action requested</t>
  </si>
  <si>
    <t xml:space="preserve">Why it is needed</t>
  </si>
  <si>
    <t xml:space="preserve">Phase</t>
  </si>
  <si>
    <t xml:space="preserve">Notes</t>
  </si>
  <si>
    <t xml:space="preserve">Status</t>
  </si>
  <si>
    <t xml:space="preserve">Granted by (name)</t>
  </si>
  <si>
    <t xml:space="preserve">Date</t>
  </si>
  <si>
    <t xml:space="preserve">Admin comments</t>
  </si>
  <si>
    <t xml:space="preserve">GH-01</t>
  </si>
  <si>
    <t xml:space="preserve">GitHub</t>
  </si>
  <si>
    <t xml:space="preserve">Vamshi Singam (lead)</t>
  </si>
  <si>
    <t xml:space="preserve">Create private/internal repo &lt;shell-org&gt;/shell-data-platform; give the lead Admin role on it during setup</t>
  </si>
  <si>
    <t xml:space="preserve">New parallel process needs its own repo with ADF, Databricks and SQL projects side by side</t>
  </si>
  <si>
    <t xml:space="preserve">P1</t>
  </si>
  <si>
    <t xml:space="preserve">Requested</t>
  </si>
  <si>
    <t xml:space="preserve">GH-02</t>
  </si>
  <si>
    <t xml:space="preserve">GitHub teams: developers, tech-leads, release-managers, qa-leads, uat-signoff</t>
  </si>
  <si>
    <t xml:space="preserve">Create or map teams (ideally synced from Entra groups); repo roles: developers = Write, tech-leads = Maintain, release-managers = Maintain</t>
  </si>
  <si>
    <t xml:space="preserve">Drives CODEOWNERS review and environment approvers</t>
  </si>
  <si>
    <t xml:space="preserve">GH-03</t>
  </si>
  <si>
    <t xml:space="preserve">Repo settings</t>
  </si>
  <si>
    <t xml:space="preserve">Allow squash merge only (disable merge commits and rebase merge); auto-delete head branches</t>
  </si>
  <si>
    <t xml:space="preserve">One PR = one commit on main, which makes releases selectable by PR number</t>
  </si>
  <si>
    <t xml:space="preserve">GH-04</t>
  </si>
  <si>
    <t xml:space="preserve">Ruleset on main</t>
  </si>
  <si>
    <t xml:space="preserve">Require PR; 1 approval from CODEOWNERS (tech-leads); dismiss stale approvals; require status check 'pr-validation'; require conversation resolution; block force-push and deletion; no bypass except org admins</t>
  </si>
  <si>
    <t xml:space="preserve">Gate 1: only reviewed, tested PRs reach main</t>
  </si>
  <si>
    <t xml:space="preserve">GH-05</t>
  </si>
  <si>
    <t xml:space="preserve">Ruleset on release/* branches and prod/* tags</t>
  </si>
  <si>
    <t xml:space="preserve">Restrict create/update/delete; bypass list = release-bot GitHub App only</t>
  </si>
  <si>
    <t xml:space="preserve">Nobody hand-edits a release branch or moves a production tag</t>
  </si>
  <si>
    <t xml:space="preserve">P2</t>
  </si>
  <si>
    <t xml:space="preserve">GH-06</t>
  </si>
  <si>
    <t xml:space="preserve">GitHub App 'shell-data-release-bot'</t>
  </si>
  <si>
    <t xml:space="preserve">Create app (Contents: read &amp; write, Pull requests: read, Metadata: read), install on the repo only; give its App ID and private key to the lead for the 'release-cut' environment secret</t>
  </si>
  <si>
    <t xml:space="preserve">Cuts release/&lt;id&gt; branches and pushes prod/&lt;id&gt; tags past the ruleset in GH-05</t>
  </si>
  <si>
    <t xml:space="preserve">GH-07</t>
  </si>
  <si>
    <t xml:space="preserve">GitHub Actions policy</t>
  </si>
  <si>
    <t xml:space="preserve">Enable Actions on the repo; allow actions: actions/*, azure/login, databricks/setup-cli, Azure/arm-deploy, Azure/sql-action (or allow 'verified creators')</t>
  </si>
  <si>
    <t xml:space="preserve">Workflows for validation, feature environments and releases</t>
  </si>
  <si>
    <t xml:space="preserve">GH-08</t>
  </si>
  <si>
    <t xml:space="preserve">Workflow permissions / OIDC</t>
  </si>
  <si>
    <t xml:space="preserve">Default GITHUB_TOKEN = read; workflows may request id-token: write (OIDC). Confirm no org policy blocks OIDC</t>
  </si>
  <si>
    <t xml:space="preserve">Passwordless sign-in to Azure with the existing managed identities</t>
  </si>
  <si>
    <t xml:space="preserve">GH-09</t>
  </si>
  <si>
    <t xml:space="preserve">GitHub Environments</t>
  </si>
  <si>
    <t xml:space="preserve">●</t>
  </si>
  <si>
    <t xml:space="preserve">Create environments: dev-feature, dev, release-cut, qa, uat, prod. Required reviewers: qa = qa-leads, uat = uat-signoff, prod = release-managers. Deployment branches: dev-feature = feature/**, bugfix/**; dev = main; release-cut = main; qa/uat/prod = release/*</t>
  </si>
  <si>
    <t xml:space="preserve">Gates 3, 4 and 6 are environment approvals</t>
  </si>
  <si>
    <t xml:space="preserve">Required reviewers on a private/internal repo need GitHub Enterprise (confirm plan, see OQ-07)</t>
  </si>
  <si>
    <t xml:space="preserve">GH-10</t>
  </si>
  <si>
    <t xml:space="preserve">Environment secrets</t>
  </si>
  <si>
    <t xml:space="preserve">Store ServiceNow integration credentials as secrets in the 'prod' environment only (and 'uat' if the CR is checked before UAT)</t>
  </si>
  <si>
    <t xml:space="preserve">Gate 5 reads and updates the change request</t>
  </si>
  <si>
    <t xml:space="preserve">P3</t>
  </si>
  <si>
    <t xml:space="preserve">GH-11</t>
  </si>
  <si>
    <t xml:space="preserve">Third-party app access</t>
  </si>
  <si>
    <t xml:space="preserve">Approve the 'Azure Data Factory' and 'Databricks' GitHub apps / OAuth apps for the org (if OAuth app access restrictions are on)</t>
  </si>
  <si>
    <t xml:space="preserve">DEV factory Git mode and Databricks Git folders must read feature branches: this is what makes feature-branch testing possible</t>
  </si>
  <si>
    <t xml:space="preserve">Blocking for feature testing</t>
  </si>
  <si>
    <t xml:space="preserve">GH-12</t>
  </si>
  <si>
    <t xml:space="preserve">GitHub Actions runners</t>
  </si>
  <si>
    <t xml:space="preserve">GitHub-hosted runners if Azure endpoints are public. If ADF/SQL/Databricks are private: self-hosted runners in a VNet with line of sight (or GitHub-hosted runners with Azure private networking), registered to this repo</t>
  </si>
  <si>
    <t xml:space="preserve">Runners must reach SQL (DACPAC), Databricks and ARM endpoints</t>
  </si>
  <si>
    <t xml:space="preserve">Depends on OQ-03</t>
  </si>
  <si>
    <t xml:space="preserve">ID-01</t>
  </si>
  <si>
    <t xml:space="preserve">Identity</t>
  </si>
  <si>
    <t xml:space="preserve">Existing managed identities</t>
  </si>
  <si>
    <t xml:space="preserve">Confirm each identity we reuse is USER-assigned and give: name, client ID, object ID, resource group, tenant ID</t>
  </si>
  <si>
    <t xml:space="preserve">GitHub can only sign in through a user-assigned identity (or app registration); system-assigned identities (for example the factory's own) cannot take federated credentials</t>
  </si>
  <si>
    <t xml:space="preserve">If they are system-assigned, request one user-assigned identity per environment instead (see OQ-04)</t>
  </si>
  <si>
    <t xml:space="preserve">ID-02</t>
  </si>
  <si>
    <t xml:space="preserve">Deploy identity – DEV</t>
  </si>
  <si>
    <t xml:space="preserve">Add federated credentials: issuer https://token.actions.githubusercontent.com, audience api://AzureADTokenExchange, subjects repo:&lt;shell-org&gt;/shell-data-platform:environment:dev and …:environment:dev-feature</t>
  </si>
  <si>
    <t xml:space="preserve">deploy-dev and feature-env workflows</t>
  </si>
  <si>
    <t xml:space="preserve">Needs Contributor/Owner on the identity to add</t>
  </si>
  <si>
    <t xml:space="preserve">ID-03</t>
  </si>
  <si>
    <t xml:space="preserve">CI identity (read-only) – DEV</t>
  </si>
  <si>
    <t xml:space="preserve">Federated credential subject repo:&lt;shell-org&gt;/shell-data-platform:pull_request (a separate low-privilege identity is preferred; DEV deploy identity acceptable)</t>
  </si>
  <si>
    <t xml:space="preserve">pr-validation runs ADF validate and bundle validate against DEV</t>
  </si>
  <si>
    <t xml:space="preserve">ID-04</t>
  </si>
  <si>
    <t xml:space="preserve">Deploy identity – QA, UAT</t>
  </si>
  <si>
    <t xml:space="preserve">Federated credentials with subjects …:environment:qa and …:environment:uat (on each environment's identity)</t>
  </si>
  <si>
    <t xml:space="preserve">release workflow QA and UAT jobs</t>
  </si>
  <si>
    <t xml:space="preserve">ID-05</t>
  </si>
  <si>
    <t xml:space="preserve">Deploy identity – PROD</t>
  </si>
  <si>
    <t xml:space="preserve">Federated credential with subject …:environment:prod</t>
  </si>
  <si>
    <t xml:space="preserve">release workflow PROD job (runs only after release-manager approval)</t>
  </si>
  <si>
    <t xml:space="preserve">ID-06</t>
  </si>
  <si>
    <t xml:space="preserve">Entra security groups</t>
  </si>
  <si>
    <t xml:space="preserve">Create or confirm groups: grp-data-developers, grp-data-techleads, grp-data-qa, grp-data-uat-signoff, grp-data-release-managers</t>
  </si>
  <si>
    <t xml:space="preserve">Used for Azure RBAC, SQL, Databricks and GitHub team sync</t>
  </si>
  <si>
    <t xml:space="preserve">AZ-01</t>
  </si>
  <si>
    <t xml:space="preserve">Azure RBAC</t>
  </si>
  <si>
    <t xml:space="preserve">Deploy identity – each env</t>
  </si>
  <si>
    <t xml:space="preserve">Data Factory Contributor on the resource group that holds that environment's factory</t>
  </si>
  <si>
    <t xml:space="preserve">ARM template deployment, stop/start triggers, delete removed pipelines</t>
  </si>
  <si>
    <t xml:space="preserve">P1 DEV · P2 QA/UAT · P3 PROD</t>
  </si>
  <si>
    <t xml:space="preserve">AZ-02</t>
  </si>
  <si>
    <t xml:space="preserve">SQL DB Contributor on the DEV SQL logical server</t>
  </si>
  <si>
    <t xml:space="preserve">Create, copy and drop feature databases sqldb-etlcfg-ft-&lt;story&gt;</t>
  </si>
  <si>
    <t xml:space="preserve">DEV only</t>
  </si>
  <si>
    <t xml:space="preserve">AZ-03</t>
  </si>
  <si>
    <t xml:space="preserve">DEV SQL logical server</t>
  </si>
  <si>
    <t xml:space="preserve">Create elastic pool 'pool-etlcfg-feature' (small, e.g. GP 2 vCore or 50–100 eDTU) on the DEV server; name a cost owner</t>
  </si>
  <si>
    <t xml:space="preserve">Feature databases share one capped pool; nightly cleanup keeps it small</t>
  </si>
  <si>
    <t xml:space="preserve">Sizing/cost decision (OQ-05)</t>
  </si>
  <si>
    <t xml:space="preserve">AZ-04</t>
  </si>
  <si>
    <t xml:space="preserve">Reader on the environment's data-platform resource group(s)</t>
  </si>
  <si>
    <t xml:space="preserve">Look up resource IDs, run ARM what-if</t>
  </si>
  <si>
    <t xml:space="preserve">AZ-05</t>
  </si>
  <si>
    <t xml:space="preserve">grp-data-developers</t>
  </si>
  <si>
    <t xml:space="preserve">Data Factory Contributor on the DEV factory only</t>
  </si>
  <si>
    <t xml:space="preserve">Author in Git mode and debug pipelines on feature branches</t>
  </si>
  <si>
    <t xml:space="preserve">No write access to QA/UAT/PROD factories</t>
  </si>
  <si>
    <t xml:space="preserve">AZ-06</t>
  </si>
  <si>
    <t xml:space="preserve">Reader (or Data Factory monitoring via Reader) on QA/UAT/PROD factories</t>
  </si>
  <si>
    <t xml:space="preserve">Monitor runs without changing anything</t>
  </si>
  <si>
    <t xml:space="preserve">AZ-07</t>
  </si>
  <si>
    <t xml:space="preserve">Factory managed identity (existing) – each env</t>
  </si>
  <si>
    <t xml:space="preserve">Verify existing: Storage Blob Data Contributor on ADLS; Key Vault Secrets User on the Key Vault used by linked services</t>
  </si>
  <si>
    <t xml:space="preserve">Pipelines keep working after deployments</t>
  </si>
  <si>
    <t xml:space="preserve">Verification only</t>
  </si>
  <si>
    <t xml:space="preserve">SQL-01</t>
  </si>
  <si>
    <t xml:space="preserve">Azure SQL</t>
  </si>
  <si>
    <t xml:space="preserve">Each config SQL logical server</t>
  </si>
  <si>
    <t xml:space="preserve">Confirm Microsoft Entra admin is set and Entra authentication is enabled; give server and database names</t>
  </si>
  <si>
    <t xml:space="preserve">Identities sign in without passwords</t>
  </si>
  <si>
    <t xml:space="preserve">SQL-02</t>
  </si>
  <si>
    <t xml:space="preserve">In the config DB: CREATE USER [&lt;deploy-identity&gt;] FROM EXTERNAL PROVIDER; ALTER ROLE db_owner ADD MEMBER [&lt;deploy-identity&gt;]</t>
  </si>
  <si>
    <t xml:space="preserve">DACPAC deploys schema, permissions and config rows</t>
  </si>
  <si>
    <t xml:space="preserve">In DEV this user is copied into every feature DB automatically</t>
  </si>
  <si>
    <t xml:space="preserve">SQL-03</t>
  </si>
  <si>
    <t xml:space="preserve">Verify it is a user in the config DB with db_datareader, db_datawriter and EXECUTE</t>
  </si>
  <si>
    <t xml:space="preserve">ADF reads config and writes watermarks; copied into feature DBs automatically</t>
  </si>
  <si>
    <t xml:space="preserve">SQL-04</t>
  </si>
  <si>
    <t xml:space="preserve">db_datareader on sqldb-etlcfg-dev</t>
  </si>
  <si>
    <t xml:space="preserve">Inspect config; the feature-env workflow grants write access on each feature DB itself</t>
  </si>
  <si>
    <t xml:space="preserve">SQL-05</t>
  </si>
  <si>
    <t xml:space="preserve">Config SQL servers – network</t>
  </si>
  <si>
    <t xml:space="preserve">Allow the runners from GH-12 to reach port 1433: private endpoint + VNet runners, or firewall rule for static runner IPs</t>
  </si>
  <si>
    <t xml:space="preserve">DACPAC deployment and feature-DB setup</t>
  </si>
  <si>
    <t xml:space="preserve">DBX-01</t>
  </si>
  <si>
    <t xml:space="preserve">Databricks</t>
  </si>
  <si>
    <t xml:space="preserve">Add the identity (by client ID) as a service principal in the Databricks account; assign it to that environment's workspace with 'Workspace access'</t>
  </si>
  <si>
    <t xml:space="preserve">Databricks CLI deploys asset bundles as this identity</t>
  </si>
  <si>
    <t xml:space="preserve">DBX-02</t>
  </si>
  <si>
    <t xml:space="preserve">CAN MANAGE on the bundle root folder (e.g. /Workspace/Shared/shell-data); allowed to create jobs</t>
  </si>
  <si>
    <t xml:space="preserve">bundle deploy creates and updates jobs, notebooks and pipelines</t>
  </si>
  <si>
    <t xml:space="preserve">DBX-03</t>
  </si>
  <si>
    <t xml:space="preserve">CAN USE on the job cluster policy, or serverless jobs enabled</t>
  </si>
  <si>
    <t xml:space="preserve">Jobs defined in the bundle can start compute</t>
  </si>
  <si>
    <t xml:space="preserve">Depends on OQ-02</t>
  </si>
  <si>
    <t xml:space="preserve">DBX-04</t>
  </si>
  <si>
    <t xml:space="preserve">If jobs run as an existing run-as service principal: 'Service Principal: User' role on that principal</t>
  </si>
  <si>
    <t xml:space="preserve">Bundle sets run_as on production jobs</t>
  </si>
  <si>
    <t xml:space="preserve">DBX-05</t>
  </si>
  <si>
    <t xml:space="preserve">Unity Catalog on the environment catalog: USE CATALOG, USE SCHEMA, CREATE SCHEMA, CREATE TABLE, CREATE FUNCTION, CREATE VOLUME, MODIFY, SELECT (or ownership of bundle-managed schemas)</t>
  </si>
  <si>
    <t xml:space="preserve">Bundle-managed DDL and grants</t>
  </si>
  <si>
    <t xml:space="preserve">DBX-06</t>
  </si>
  <si>
    <t xml:space="preserve">CAN USE on one SQL warehouse</t>
  </si>
  <si>
    <t xml:space="preserve">Run UC SQL steps during deployment</t>
  </si>
  <si>
    <t xml:space="preserve">DBX-07</t>
  </si>
  <si>
    <t xml:space="preserve">Verify it is a workspace service principal; give its client ID so the bundle grants it CAN MANAGE RUN on the jobs it triggers</t>
  </si>
  <si>
    <t xml:space="preserve">ADF triggers Databricks jobs after every deployment</t>
  </si>
  <si>
    <t xml:space="preserve">Verification + information</t>
  </si>
  <si>
    <t xml:space="preserve">DBX-08</t>
  </si>
  <si>
    <t xml:space="preserve">DEV workspace access; serverless/cluster use; on dev catalog: USE CATALOG, CREATE SCHEMA (personal dev_&lt;user&gt; schemas)</t>
  </si>
  <si>
    <t xml:space="preserve">Developers deploy bundles in development mode: resources prefixed with their name, isolated per developer</t>
  </si>
  <si>
    <t xml:space="preserve">DBX-09</t>
  </si>
  <si>
    <t xml:space="preserve">DEV workspace – Git integration</t>
  </si>
  <si>
    <t xml:space="preserve">Allow Git folders to the GitHub org (add repo to the Git allowlist if restricted)</t>
  </si>
  <si>
    <t xml:space="preserve">Developers work on feature branches inside the workspace</t>
  </si>
  <si>
    <t xml:space="preserve">ADF-01</t>
  </si>
  <si>
    <t xml:space="preserve">ADF</t>
  </si>
  <si>
    <t xml:space="preserve">DEV factory</t>
  </si>
  <si>
    <t xml:space="preserve">Connect the DEV factory to GitHub: repo shell-data-platform, collaboration branch main, root folder /adf; turn ON 'Disable publish' (automated publish)</t>
  </si>
  <si>
    <t xml:space="preserve">Feature branches can be debugged; main is deployed by the pipeline, not the Publish button</t>
  </si>
  <si>
    <t xml:space="preserve">Done by the lead once AZ-05 and GH-11 are granted</t>
  </si>
  <si>
    <t xml:space="preserve">ADF-02</t>
  </si>
  <si>
    <t xml:space="preserve">Integration runtimes</t>
  </si>
  <si>
    <t xml:space="preserve">Names/types of integration runtimes (Azure, self-hosted, shared/linked) used by each factory</t>
  </si>
  <si>
    <t xml:space="preserve">ARM parameter files map linked services to the right runtime per environment</t>
  </si>
  <si>
    <t xml:space="preserve">Information</t>
  </si>
  <si>
    <t xml:space="preserve">ADO-01</t>
  </si>
  <si>
    <t xml:space="preserve">Azure Boards</t>
  </si>
  <si>
    <t xml:space="preserve">Azure Boards app</t>
  </si>
  <si>
    <t xml:space="preserve">Install the Azure Boards app on the GitHub org and connect the ADO project to shell-data-platform (needs ADO project admin + GitHub org owner)</t>
  </si>
  <si>
    <t xml:space="preserve">AB#1234 in a PR links it to the story; PR check blocks merges without a story</t>
  </si>
  <si>
    <t xml:space="preserve">ADO-02</t>
  </si>
  <si>
    <t xml:space="preserve">Deploy identity (QA/UAT/PROD, or one release identity)</t>
  </si>
  <si>
    <t xml:space="preserve">Add the managed identity to the Azure DevOps organization (Basic access); Contributor on the project or area path</t>
  </si>
  <si>
    <t xml:space="preserve">Release workflow moves stories to Ready for QA / Ready for UAT / Closed and comments the release id</t>
  </si>
  <si>
    <t xml:space="preserve">ADO-03</t>
  </si>
  <si>
    <t xml:space="preserve">Board process</t>
  </si>
  <si>
    <t xml:space="preserve">Confirm work-item state names and the area path used by this team</t>
  </si>
  <si>
    <t xml:space="preserve">Workflow uses the exact state names</t>
  </si>
  <si>
    <t xml:space="preserve">SN-01</t>
  </si>
  <si>
    <t xml:space="preserve">ServiceNow</t>
  </si>
  <si>
    <t xml:space="preserve">Integration account / OAuth client</t>
  </si>
  <si>
    <t xml:space="preserve">Integration user (or OAuth client credentials) able to read change_request and update state and work_notes for this team's assignment group</t>
  </si>
  <si>
    <t xml:space="preserve">Gate 5: CR approved + in window + PR list matches; evidence written back after deploy</t>
  </si>
  <si>
    <t xml:space="preserve">SN-02</t>
  </si>
  <si>
    <t xml:space="preserve">Change template</t>
  </si>
  <si>
    <t xml:space="preserve">Add a field (e.g. u_release_prs) or agree the description lines 'Release-Id:' and 'Release-PRs:' on the CR template; confirm change model (Normal/Standard)</t>
  </si>
  <si>
    <t xml:space="preserve">Ties each CR to the exact PRs being deployed</t>
  </si>
  <si>
    <t xml:space="preserve">SN-03</t>
  </si>
  <si>
    <t xml:space="preserve">ServiceNow instance – network</t>
  </si>
  <si>
    <t xml:space="preserve">If the instance restricts inbound IPs, allow the runner egress IPs</t>
  </si>
  <si>
    <t xml:space="preserve">Runners call the ServiceNow Table API</t>
  </si>
  <si>
    <t xml:space="preserve">Conditional</t>
  </si>
  <si>
    <t xml:space="preserve">Item</t>
  </si>
  <si>
    <t xml:space="preserve">Tenant ID</t>
  </si>
  <si>
    <t xml:space="preserve">Subscription ID</t>
  </si>
  <si>
    <t xml:space="preserve">Resource group (data platform)</t>
  </si>
  <si>
    <t xml:space="preserve">Deploy identity name (user-assigned)</t>
  </si>
  <si>
    <t xml:space="preserve">Deploy identity client ID</t>
  </si>
  <si>
    <t xml:space="preserve">Data Factory name</t>
  </si>
  <si>
    <t xml:space="preserve">adf-…-dev</t>
  </si>
  <si>
    <t xml:space="preserve">Factory managed identity client ID</t>
  </si>
  <si>
    <t xml:space="preserve">SQL logical server</t>
  </si>
  <si>
    <t xml:space="preserve">Config database</t>
  </si>
  <si>
    <t xml:space="preserve">sqldb-etlcfg-dev</t>
  </si>
  <si>
    <t xml:space="preserve">Databricks workspace URL</t>
  </si>
  <si>
    <t xml:space="preserve">https://adb-….azuredatabricks.net</t>
  </si>
  <si>
    <t xml:space="preserve">Unity Catalog catalog</t>
  </si>
  <si>
    <t xml:space="preserve">SQL warehouse ID</t>
  </si>
  <si>
    <t xml:space="preserve">Self-hosted IR name (if any)</t>
  </si>
  <si>
    <t xml:space="preserve">Key Vault name</t>
  </si>
  <si>
    <t xml:space="preserve">Grey italic values in the DEV column are examples of the expected format; overwrite them.</t>
  </si>
  <si>
    <t xml:space="preserve">Question</t>
  </si>
  <si>
    <t xml:space="preserve">What it affects</t>
  </si>
  <si>
    <t xml:space="preserve">Who can answer</t>
  </si>
  <si>
    <t xml:space="preserve">Answer</t>
  </si>
  <si>
    <t xml:space="preserve">OQ-01</t>
  </si>
  <si>
    <t xml:space="preserve">Is each environment (DEV, QA, UAT, PROD) in its own subscription? Resource group and resource names per env?</t>
  </si>
  <si>
    <t xml:space="preserve">Scopes for every Azure role assignment</t>
  </si>
  <si>
    <t xml:space="preserve">Vamshi / platform team</t>
  </si>
  <si>
    <t xml:space="preserve">OQ-02</t>
  </si>
  <si>
    <t xml:space="preserve">Is Databricks serverless (jobs and SQL) allowed, or must jobs use a cluster policy?</t>
  </si>
  <si>
    <t xml:space="preserve">DBX-03 and bundle job definitions</t>
  </si>
  <si>
    <t xml:space="preserve">Databricks admin</t>
  </si>
  <si>
    <t xml:space="preserve">OQ-03</t>
  </si>
  <si>
    <t xml:space="preserve">Are ADF, Azure SQL and Databricks behind private endpoints? Which self-hosted integration runtimes exist?</t>
  </si>
  <si>
    <t xml:space="preserve">Runner choice (GH-12), SQL-05, ADF-02</t>
  </si>
  <si>
    <t xml:space="preserve">Network team</t>
  </si>
  <si>
    <t xml:space="preserve">OQ-04</t>
  </si>
  <si>
    <t xml:space="preserve">Are the managed identities we must reuse user-assigned or system-assigned?</t>
  </si>
  <si>
    <t xml:space="preserve">If system-assigned, GitHub cannot use them: new user-assigned identities are needed</t>
  </si>
  <si>
    <t xml:space="preserve">Entra admin</t>
  </si>
  <si>
    <t xml:space="preserve">OQ-05</t>
  </si>
  <si>
    <t xml:space="preserve">Elastic pool size and cost owner for feature databases</t>
  </si>
  <si>
    <t xml:space="preserve">Budget owner</t>
  </si>
  <si>
    <t xml:space="preserve">OQ-06</t>
  </si>
  <si>
    <t xml:space="preserve">How are Azure SQL scripts deployed today (SQL project/DACPAC, numbered scripts, other)?</t>
  </si>
  <si>
    <t xml:space="preserve">Decides the SQL project tooling; process stays the same</t>
  </si>
  <si>
    <t xml:space="preserve">Existing team</t>
  </si>
  <si>
    <t xml:space="preserve">OQ-07</t>
  </si>
  <si>
    <t xml:space="preserve">Which GitHub plan does the org have (Enterprise Cloud?)</t>
  </si>
  <si>
    <t xml:space="preserve">Environment required reviewers on private/internal repos need GitHub Enterprise</t>
  </si>
  <si>
    <t xml:space="preserve">OQ-08</t>
  </si>
  <si>
    <t xml:space="preserve">ServiceNow: assignment group, change model, and whether CRs can be read/updated via API</t>
  </si>
  <si>
    <t xml:space="preserve">SN-01, SN-02</t>
  </si>
  <si>
    <t xml:space="preserve">ServiceNow admin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</si>
</sst>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6B72"/>
        <bgColor rgb="FF008080"/>
      </patternFill>
    </fill>
    <fill>
      <patternFill patternType="solid">
        <fgColor rgb="FFFFF2CC"/>
        <bgColor rgb="FFF8E3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DE4"/>
      </left>
      <right style="thin">
        <color rgb="FFD6DDE4"/>
      </right>
      <top style="thin">
        <color rgb="FFD6DDE4"/>
      </top>
      <bottom style="thin">
        <color rgb="FFD6DD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E6B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F2E8"/>
        </patternFill>
      </fill>
    </dxf>
    <dxf>
      <fill>
        <patternFill>
          <bgColor rgb="FFF8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72"/>
      <rgbColor rgb="FFC0C0C0"/>
      <rgbColor rgb="FF808080"/>
      <rgbColor rgb="FF9999FF"/>
      <rgbColor rgb="FF993366"/>
      <rgbColor rgb="FFFFF2CC"/>
      <rgbColor rgb="FFE2F2E8"/>
      <rgbColor rgb="FF660066"/>
      <rgbColor rgb="FFFF8080"/>
      <rgbColor rgb="FF0066CC"/>
      <rgbColor rgb="FFD6DD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E3E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4" t="s">
        <v>11</v>
      </c>
      <c r="C13" s="4" t="s">
        <v>12</v>
      </c>
      <c r="D13" s="4" t="s">
        <v>13</v>
      </c>
      <c r="E13" s="4" t="s">
        <v>14</v>
      </c>
    </row>
    <row r="14" customFormat="false" ht="15" hidden="false" customHeight="false" outlineLevel="0" collapsed="false">
      <c r="A14" s="5" t="s">
        <v>15</v>
      </c>
      <c r="B14" s="5" t="n">
        <f aca="false">COUNTIF('Access requests'!$C$2:$C$48,A14)</f>
        <v>12</v>
      </c>
      <c r="C14" s="5" t="n">
        <f aca="false">COUNTIFS('Access requests'!$C$2:$C$48,A14,'Access requests'!$K$2:$K$48,"P1*")</f>
        <v>9</v>
      </c>
      <c r="D14" s="5" t="n">
        <f aca="false">COUNTIFS('Access requests'!$C$2:$C$48,A14,'Access requests'!$M$2:$M$48,"Granted")</f>
        <v>0</v>
      </c>
      <c r="E14" s="5" t="n">
        <f aca="false">B14-D14-COUNTIFS('Access requests'!$C$2:$C$48,A14,'Access requests'!$M$2:$M$48,"Not needed")</f>
        <v>12</v>
      </c>
    </row>
    <row r="15" customFormat="false" ht="15" hidden="false" customHeight="false" outlineLevel="0" collapsed="false">
      <c r="A15" s="5" t="s">
        <v>16</v>
      </c>
      <c r="B15" s="5" t="n">
        <f aca="false">COUNTIF('Access requests'!$C$2:$C$48,A15)</f>
        <v>6</v>
      </c>
      <c r="C15" s="5" t="n">
        <f aca="false">COUNTIFS('Access requests'!$C$2:$C$48,A15,'Access requests'!$K$2:$K$48,"P1*")</f>
        <v>4</v>
      </c>
      <c r="D15" s="5" t="n">
        <f aca="false">COUNTIFS('Access requests'!$C$2:$C$48,A15,'Access requests'!$M$2:$M$48,"Granted")</f>
        <v>0</v>
      </c>
      <c r="E15" s="5" t="n">
        <f aca="false">B15-D15-COUNTIFS('Access requests'!$C$2:$C$48,A15,'Access requests'!$M$2:$M$48,"Not needed")</f>
        <v>6</v>
      </c>
    </row>
    <row r="16" customFormat="false" ht="15" hidden="false" customHeight="false" outlineLevel="0" collapsed="false">
      <c r="A16" s="5" t="s">
        <v>17</v>
      </c>
      <c r="B16" s="5" t="n">
        <f aca="false">COUNTIF('Access requests'!$C$2:$C$48,A16)</f>
        <v>8</v>
      </c>
      <c r="C16" s="5" t="n">
        <f aca="false">COUNTIFS('Access requests'!$C$2:$C$48,A16,'Access requests'!$K$2:$K$48,"P1*")</f>
        <v>7</v>
      </c>
      <c r="D16" s="5" t="n">
        <f aca="false">COUNTIFS('Access requests'!$C$2:$C$48,A16,'Access requests'!$M$2:$M$48,"Granted")</f>
        <v>0</v>
      </c>
      <c r="E16" s="5" t="n">
        <f aca="false">B16-D16-COUNTIFS('Access requests'!$C$2:$C$48,A16,'Access requests'!$M$2:$M$48,"Not needed")</f>
        <v>8</v>
      </c>
    </row>
    <row r="17" customFormat="false" ht="15" hidden="false" customHeight="false" outlineLevel="0" collapsed="false">
      <c r="A17" s="5" t="s">
        <v>18</v>
      </c>
      <c r="B17" s="5" t="n">
        <f aca="false">COUNTIF('Access requests'!$C$2:$C$48,A17)</f>
        <v>4</v>
      </c>
      <c r="C17" s="5" t="n">
        <f aca="false">COUNTIFS('Access requests'!$C$2:$C$48,A17,'Access requests'!$K$2:$K$48,"P1*")</f>
        <v>4</v>
      </c>
      <c r="D17" s="5" t="n">
        <f aca="false">COUNTIFS('Access requests'!$C$2:$C$48,A17,'Access requests'!$M$2:$M$48,"Granted")</f>
        <v>0</v>
      </c>
      <c r="E17" s="5" t="n">
        <f aca="false">B17-D17-COUNTIFS('Access requests'!$C$2:$C$48,A17,'Access requests'!$M$2:$M$48,"Not needed")</f>
        <v>4</v>
      </c>
    </row>
    <row r="18" customFormat="false" ht="15" hidden="false" customHeight="false" outlineLevel="0" collapsed="false">
      <c r="A18" s="5" t="s">
        <v>19</v>
      </c>
      <c r="B18" s="5" t="n">
        <f aca="false">COUNTIF('Access requests'!$C$2:$C$48,A18)</f>
        <v>1</v>
      </c>
      <c r="C18" s="5" t="n">
        <f aca="false">COUNTIFS('Access requests'!$C$2:$C$48,A18,'Access requests'!$K$2:$K$48,"P1*")</f>
        <v>1</v>
      </c>
      <c r="D18" s="5" t="n">
        <f aca="false">COUNTIFS('Access requests'!$C$2:$C$48,A18,'Access requests'!$M$2:$M$48,"Granted")</f>
        <v>0</v>
      </c>
      <c r="E18" s="5" t="n">
        <f aca="false">B18-D18-COUNTIFS('Access requests'!$C$2:$C$48,A18,'Access requests'!$M$2:$M$48,"Not needed")</f>
        <v>1</v>
      </c>
    </row>
    <row r="19" customFormat="false" ht="15" hidden="false" customHeight="false" outlineLevel="0" collapsed="false">
      <c r="A19" s="5" t="s">
        <v>20</v>
      </c>
      <c r="B19" s="5" t="n">
        <f aca="false">COUNTIF('Access requests'!$C$2:$C$48,A19)</f>
        <v>8</v>
      </c>
      <c r="C19" s="5" t="n">
        <f aca="false">COUNTIFS('Access requests'!$C$2:$C$48,A19,'Access requests'!$K$2:$K$48,"P1*")</f>
        <v>7</v>
      </c>
      <c r="D19" s="5" t="n">
        <f aca="false">COUNTIFS('Access requests'!$C$2:$C$48,A19,'Access requests'!$M$2:$M$48,"Granted")</f>
        <v>0</v>
      </c>
      <c r="E19" s="5" t="n">
        <f aca="false">B19-D19-COUNTIFS('Access requests'!$C$2:$C$48,A19,'Access requests'!$M$2:$M$48,"Not needed")</f>
        <v>8</v>
      </c>
    </row>
    <row r="20" customFormat="false" ht="15" hidden="false" customHeight="false" outlineLevel="0" collapsed="false">
      <c r="A20" s="5" t="s">
        <v>21</v>
      </c>
      <c r="B20" s="5" t="n">
        <f aca="false">COUNTIF('Access requests'!$C$2:$C$48,A20)</f>
        <v>2</v>
      </c>
      <c r="C20" s="5" t="n">
        <f aca="false">COUNTIFS('Access requests'!$C$2:$C$48,A20,'Access requests'!$K$2:$K$48,"P1*")</f>
        <v>1</v>
      </c>
      <c r="D20" s="5" t="n">
        <f aca="false">COUNTIFS('Access requests'!$C$2:$C$48,A20,'Access requests'!$M$2:$M$48,"Granted")</f>
        <v>0</v>
      </c>
      <c r="E20" s="5" t="n">
        <f aca="false">B20-D20-COUNTIFS('Access requests'!$C$2:$C$48,A20,'Access requests'!$M$2:$M$48,"Not needed")</f>
        <v>2</v>
      </c>
    </row>
    <row r="21" customFormat="false" ht="15" hidden="false" customHeight="false" outlineLevel="0" collapsed="false">
      <c r="A21" s="5" t="s">
        <v>22</v>
      </c>
      <c r="B21" s="5" t="n">
        <f aca="false">COUNTIF('Access requests'!$C$2:$C$48,A21)</f>
        <v>2</v>
      </c>
      <c r="C21" s="5" t="n">
        <f aca="false">COUNTIFS('Access requests'!$C$2:$C$48,A21,'Access requests'!$K$2:$K$48,"P1*")</f>
        <v>0</v>
      </c>
      <c r="D21" s="5" t="n">
        <f aca="false">COUNTIFS('Access requests'!$C$2:$C$48,A21,'Access requests'!$M$2:$M$48,"Granted")</f>
        <v>0</v>
      </c>
      <c r="E21" s="5" t="n">
        <f aca="false">B21-D21-COUNTIFS('Access requests'!$C$2:$C$48,A21,'Access requests'!$M$2:$M$48,"Not needed")</f>
        <v>2</v>
      </c>
    </row>
    <row r="22" customFormat="false" ht="15" hidden="false" customHeight="false" outlineLevel="0" collapsed="false">
      <c r="A22" s="5" t="s">
        <v>23</v>
      </c>
      <c r="B22" s="5" t="n">
        <f aca="false">COUNTIF('Access requests'!$C$2:$C$48,A22)</f>
        <v>2</v>
      </c>
      <c r="C22" s="5" t="n">
        <f aca="false">COUNTIFS('Access requests'!$C$2:$C$48,A22,'Access requests'!$K$2:$K$48,"P1*")</f>
        <v>1</v>
      </c>
      <c r="D22" s="5" t="n">
        <f aca="false">COUNTIFS('Access requests'!$C$2:$C$48,A22,'Access requests'!$M$2:$M$48,"Granted")</f>
        <v>0</v>
      </c>
      <c r="E22" s="5" t="n">
        <f aca="false">B22-D22-COUNTIFS('Access requests'!$C$2:$C$48,A22,'Access requests'!$M$2:$M$48,"Not needed")</f>
        <v>2</v>
      </c>
    </row>
    <row r="23" customFormat="false" ht="15" hidden="false" customHeight="false" outlineLevel="0" collapsed="false">
      <c r="A23" s="5" t="s">
        <v>24</v>
      </c>
      <c r="B23" s="5" t="n">
        <f aca="false">COUNTIF('Access requests'!$C$2:$C$48,A23)</f>
        <v>2</v>
      </c>
      <c r="C23" s="5" t="n">
        <f aca="false">COUNTIFS('Access requests'!$C$2:$C$48,A23,'Access requests'!$K$2:$K$48,"P1*")</f>
        <v>1</v>
      </c>
      <c r="D23" s="5" t="n">
        <f aca="false">COUNTIFS('Access requests'!$C$2:$C$48,A23,'Access requests'!$M$2:$M$48,"Granted")</f>
        <v>0</v>
      </c>
      <c r="E23" s="5" t="n">
        <f aca="false">B23-D23-COUNTIFS('Access requests'!$C$2:$C$48,A23,'Access requests'!$M$2:$M$48,"Not needed")</f>
        <v>2</v>
      </c>
    </row>
    <row r="24" customFormat="false" ht="15" hidden="false" customHeight="false" outlineLevel="0" collapsed="false">
      <c r="A24" s="3" t="s">
        <v>11</v>
      </c>
      <c r="B24" s="3" t="n">
        <f aca="false">SUM(B14:B23)</f>
        <v>47</v>
      </c>
      <c r="C24" s="3" t="n">
        <f aca="false">SUM(C14:C23)</f>
        <v>35</v>
      </c>
      <c r="D24" s="3" t="n">
        <f aca="false">SUM(D14:D23)</f>
        <v>0</v>
      </c>
      <c r="E24" s="3" t="n">
        <f aca="false">SUM(E14:E23)</f>
        <v>47</v>
      </c>
    </row>
    <row r="26" customFormat="false" ht="15" hidden="false" customHeight="false" outlineLevel="0" collapsed="false">
      <c r="A26" s="3" t="s">
        <v>25</v>
      </c>
    </row>
    <row r="27" customFormat="false" ht="15" hidden="false" customHeight="false" outlineLevel="0" collapsed="false">
      <c r="A27" s="2" t="s">
        <v>26</v>
      </c>
    </row>
    <row r="28" customFormat="false" ht="15" hidden="false" customHeight="false" outlineLevel="0" collapsed="false">
      <c r="A28" s="2" t="s">
        <v>27</v>
      </c>
    </row>
    <row r="29" customFormat="false" ht="15" hidden="false" customHeight="false" outlineLevel="0" collapsed="false">
      <c r="A29" s="2" t="s">
        <v>28</v>
      </c>
    </row>
    <row r="31" customFormat="false" ht="15" hidden="false" customHeight="false" outlineLevel="0" collapsed="false">
      <c r="A31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8" min="5" style="0" width="6"/>
    <col collapsed="false" customWidth="true" hidden="false" outlineLevel="0" max="9" min="9" style="0" width="62"/>
    <col collapsed="false" customWidth="true" hidden="false" outlineLevel="0" max="10" min="10" style="0" width="44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1"/>
    <col collapsed="false" customWidth="true" hidden="false" outlineLevel="0" max="16" min="16" style="0" width="28"/>
  </cols>
  <sheetData>
    <row r="1" customFormat="false" ht="23.85" hidden="false" customHeight="false" outlineLevel="0" collapsed="false">
      <c r="A1" s="7" t="s">
        <v>30</v>
      </c>
      <c r="B1" s="7" t="s">
        <v>31</v>
      </c>
      <c r="C1" s="7" t="s">
        <v>10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</row>
    <row r="2" customFormat="false" ht="23.85" hidden="false" customHeight="false" outlineLevel="0" collapsed="false">
      <c r="A2" s="8" t="s">
        <v>45</v>
      </c>
      <c r="B2" s="9" t="s">
        <v>46</v>
      </c>
      <c r="C2" s="9" t="s">
        <v>15</v>
      </c>
      <c r="D2" s="9" t="s">
        <v>47</v>
      </c>
      <c r="E2" s="10"/>
      <c r="F2" s="10"/>
      <c r="G2" s="10"/>
      <c r="H2" s="10"/>
      <c r="I2" s="9" t="s">
        <v>48</v>
      </c>
      <c r="J2" s="9" t="s">
        <v>49</v>
      </c>
      <c r="K2" s="9" t="s">
        <v>50</v>
      </c>
      <c r="L2" s="9"/>
      <c r="M2" s="11" t="s">
        <v>51</v>
      </c>
      <c r="N2" s="11"/>
      <c r="O2" s="11"/>
      <c r="P2" s="11"/>
    </row>
    <row r="3" customFormat="false" ht="35.05" hidden="false" customHeight="false" outlineLevel="0" collapsed="false">
      <c r="A3" s="8" t="s">
        <v>52</v>
      </c>
      <c r="B3" s="9" t="s">
        <v>46</v>
      </c>
      <c r="C3" s="9" t="s">
        <v>15</v>
      </c>
      <c r="D3" s="9" t="s">
        <v>53</v>
      </c>
      <c r="E3" s="10"/>
      <c r="F3" s="10"/>
      <c r="G3" s="10"/>
      <c r="H3" s="10"/>
      <c r="I3" s="9" t="s">
        <v>54</v>
      </c>
      <c r="J3" s="9" t="s">
        <v>55</v>
      </c>
      <c r="K3" s="9" t="s">
        <v>50</v>
      </c>
      <c r="L3" s="9"/>
      <c r="M3" s="11" t="s">
        <v>51</v>
      </c>
      <c r="N3" s="11"/>
      <c r="O3" s="11"/>
      <c r="P3" s="11"/>
    </row>
    <row r="4" customFormat="false" ht="23.85" hidden="false" customHeight="false" outlineLevel="0" collapsed="false">
      <c r="A4" s="8" t="s">
        <v>56</v>
      </c>
      <c r="B4" s="9" t="s">
        <v>46</v>
      </c>
      <c r="C4" s="9" t="s">
        <v>15</v>
      </c>
      <c r="D4" s="9" t="s">
        <v>57</v>
      </c>
      <c r="E4" s="10"/>
      <c r="F4" s="10"/>
      <c r="G4" s="10"/>
      <c r="H4" s="10"/>
      <c r="I4" s="9" t="s">
        <v>58</v>
      </c>
      <c r="J4" s="9" t="s">
        <v>59</v>
      </c>
      <c r="K4" s="9" t="s">
        <v>50</v>
      </c>
      <c r="L4" s="9"/>
      <c r="M4" s="11" t="s">
        <v>51</v>
      </c>
      <c r="N4" s="11"/>
      <c r="O4" s="11"/>
      <c r="P4" s="11"/>
    </row>
    <row r="5" customFormat="false" ht="35.05" hidden="false" customHeight="false" outlineLevel="0" collapsed="false">
      <c r="A5" s="8" t="s">
        <v>60</v>
      </c>
      <c r="B5" s="9" t="s">
        <v>46</v>
      </c>
      <c r="C5" s="9" t="s">
        <v>15</v>
      </c>
      <c r="D5" s="9" t="s">
        <v>61</v>
      </c>
      <c r="E5" s="10"/>
      <c r="F5" s="10"/>
      <c r="G5" s="10"/>
      <c r="H5" s="10"/>
      <c r="I5" s="9" t="s">
        <v>62</v>
      </c>
      <c r="J5" s="9" t="s">
        <v>63</v>
      </c>
      <c r="K5" s="9" t="s">
        <v>50</v>
      </c>
      <c r="L5" s="9"/>
      <c r="M5" s="11" t="s">
        <v>51</v>
      </c>
      <c r="N5" s="11"/>
      <c r="O5" s="11"/>
      <c r="P5" s="11"/>
    </row>
    <row r="6" customFormat="false" ht="23.85" hidden="false" customHeight="false" outlineLevel="0" collapsed="false">
      <c r="A6" s="8" t="s">
        <v>64</v>
      </c>
      <c r="B6" s="9" t="s">
        <v>46</v>
      </c>
      <c r="C6" s="9" t="s">
        <v>15</v>
      </c>
      <c r="D6" s="9" t="s">
        <v>65</v>
      </c>
      <c r="E6" s="10"/>
      <c r="F6" s="10"/>
      <c r="G6" s="10"/>
      <c r="H6" s="10"/>
      <c r="I6" s="9" t="s">
        <v>66</v>
      </c>
      <c r="J6" s="9" t="s">
        <v>67</v>
      </c>
      <c r="K6" s="9" t="s">
        <v>68</v>
      </c>
      <c r="L6" s="9"/>
      <c r="M6" s="11" t="s">
        <v>51</v>
      </c>
      <c r="N6" s="11"/>
      <c r="O6" s="11"/>
      <c r="P6" s="11"/>
    </row>
    <row r="7" customFormat="false" ht="35.05" hidden="false" customHeight="false" outlineLevel="0" collapsed="false">
      <c r="A7" s="8" t="s">
        <v>69</v>
      </c>
      <c r="B7" s="9" t="s">
        <v>46</v>
      </c>
      <c r="C7" s="9" t="s">
        <v>15</v>
      </c>
      <c r="D7" s="9" t="s">
        <v>70</v>
      </c>
      <c r="E7" s="10"/>
      <c r="F7" s="10"/>
      <c r="G7" s="10"/>
      <c r="H7" s="10"/>
      <c r="I7" s="9" t="s">
        <v>71</v>
      </c>
      <c r="J7" s="9" t="s">
        <v>72</v>
      </c>
      <c r="K7" s="9" t="s">
        <v>68</v>
      </c>
      <c r="L7" s="9"/>
      <c r="M7" s="11" t="s">
        <v>51</v>
      </c>
      <c r="N7" s="11"/>
      <c r="O7" s="11"/>
      <c r="P7" s="11"/>
    </row>
    <row r="8" customFormat="false" ht="35.05" hidden="false" customHeight="false" outlineLevel="0" collapsed="false">
      <c r="A8" s="8" t="s">
        <v>73</v>
      </c>
      <c r="B8" s="9" t="s">
        <v>46</v>
      </c>
      <c r="C8" s="9" t="s">
        <v>15</v>
      </c>
      <c r="D8" s="9" t="s">
        <v>74</v>
      </c>
      <c r="E8" s="10"/>
      <c r="F8" s="10"/>
      <c r="G8" s="10"/>
      <c r="H8" s="10"/>
      <c r="I8" s="9" t="s">
        <v>75</v>
      </c>
      <c r="J8" s="9" t="s">
        <v>76</v>
      </c>
      <c r="K8" s="9" t="s">
        <v>50</v>
      </c>
      <c r="L8" s="9"/>
      <c r="M8" s="11" t="s">
        <v>51</v>
      </c>
      <c r="N8" s="11"/>
      <c r="O8" s="11"/>
      <c r="P8" s="11"/>
    </row>
    <row r="9" customFormat="false" ht="23.85" hidden="false" customHeight="false" outlineLevel="0" collapsed="false">
      <c r="A9" s="8" t="s">
        <v>77</v>
      </c>
      <c r="B9" s="9" t="s">
        <v>46</v>
      </c>
      <c r="C9" s="9" t="s">
        <v>15</v>
      </c>
      <c r="D9" s="9" t="s">
        <v>78</v>
      </c>
      <c r="E9" s="10"/>
      <c r="F9" s="10"/>
      <c r="G9" s="10"/>
      <c r="H9" s="10"/>
      <c r="I9" s="9" t="s">
        <v>79</v>
      </c>
      <c r="J9" s="9" t="s">
        <v>80</v>
      </c>
      <c r="K9" s="9" t="s">
        <v>50</v>
      </c>
      <c r="L9" s="9"/>
      <c r="M9" s="11" t="s">
        <v>51</v>
      </c>
      <c r="N9" s="11"/>
      <c r="O9" s="11"/>
      <c r="P9" s="11"/>
    </row>
    <row r="10" customFormat="false" ht="46.25" hidden="false" customHeight="false" outlineLevel="0" collapsed="false">
      <c r="A10" s="8" t="s">
        <v>81</v>
      </c>
      <c r="B10" s="9" t="s">
        <v>46</v>
      </c>
      <c r="C10" s="9" t="s">
        <v>15</v>
      </c>
      <c r="D10" s="9" t="s">
        <v>82</v>
      </c>
      <c r="E10" s="10" t="s">
        <v>83</v>
      </c>
      <c r="F10" s="10" t="s">
        <v>83</v>
      </c>
      <c r="G10" s="10" t="s">
        <v>83</v>
      </c>
      <c r="H10" s="10" t="s">
        <v>83</v>
      </c>
      <c r="I10" s="9" t="s">
        <v>84</v>
      </c>
      <c r="J10" s="9" t="s">
        <v>85</v>
      </c>
      <c r="K10" s="9" t="s">
        <v>50</v>
      </c>
      <c r="L10" s="9" t="s">
        <v>86</v>
      </c>
      <c r="M10" s="11" t="s">
        <v>51</v>
      </c>
      <c r="N10" s="11"/>
      <c r="O10" s="11"/>
      <c r="P10" s="11"/>
    </row>
    <row r="11" customFormat="false" ht="23.85" hidden="false" customHeight="false" outlineLevel="0" collapsed="false">
      <c r="A11" s="8" t="s">
        <v>87</v>
      </c>
      <c r="B11" s="9" t="s">
        <v>46</v>
      </c>
      <c r="C11" s="9" t="s">
        <v>15</v>
      </c>
      <c r="D11" s="9" t="s">
        <v>88</v>
      </c>
      <c r="E11" s="10"/>
      <c r="F11" s="10"/>
      <c r="G11" s="10" t="s">
        <v>83</v>
      </c>
      <c r="H11" s="10" t="s">
        <v>83</v>
      </c>
      <c r="I11" s="9" t="s">
        <v>89</v>
      </c>
      <c r="J11" s="9" t="s">
        <v>90</v>
      </c>
      <c r="K11" s="9" t="s">
        <v>91</v>
      </c>
      <c r="L11" s="9"/>
      <c r="M11" s="11" t="s">
        <v>51</v>
      </c>
      <c r="N11" s="11"/>
      <c r="O11" s="11"/>
      <c r="P11" s="11"/>
    </row>
    <row r="12" customFormat="false" ht="35.05" hidden="false" customHeight="false" outlineLevel="0" collapsed="false">
      <c r="A12" s="8" t="s">
        <v>92</v>
      </c>
      <c r="B12" s="9" t="s">
        <v>46</v>
      </c>
      <c r="C12" s="9" t="s">
        <v>15</v>
      </c>
      <c r="D12" s="9" t="s">
        <v>93</v>
      </c>
      <c r="E12" s="10" t="s">
        <v>83</v>
      </c>
      <c r="F12" s="10"/>
      <c r="G12" s="10"/>
      <c r="H12" s="10"/>
      <c r="I12" s="9" t="s">
        <v>94</v>
      </c>
      <c r="J12" s="9" t="s">
        <v>95</v>
      </c>
      <c r="K12" s="9" t="s">
        <v>50</v>
      </c>
      <c r="L12" s="9" t="s">
        <v>96</v>
      </c>
      <c r="M12" s="11" t="s">
        <v>51</v>
      </c>
      <c r="N12" s="11"/>
      <c r="O12" s="11"/>
      <c r="P12" s="11"/>
    </row>
    <row r="13" customFormat="false" ht="35.05" hidden="false" customHeight="false" outlineLevel="0" collapsed="false">
      <c r="A13" s="8" t="s">
        <v>97</v>
      </c>
      <c r="B13" s="9" t="s">
        <v>46</v>
      </c>
      <c r="C13" s="9" t="s">
        <v>15</v>
      </c>
      <c r="D13" s="9" t="s">
        <v>98</v>
      </c>
      <c r="E13" s="10" t="s">
        <v>83</v>
      </c>
      <c r="F13" s="10" t="s">
        <v>83</v>
      </c>
      <c r="G13" s="10" t="s">
        <v>83</v>
      </c>
      <c r="H13" s="10" t="s">
        <v>83</v>
      </c>
      <c r="I13" s="9" t="s">
        <v>99</v>
      </c>
      <c r="J13" s="9" t="s">
        <v>100</v>
      </c>
      <c r="K13" s="9" t="s">
        <v>50</v>
      </c>
      <c r="L13" s="9" t="s">
        <v>101</v>
      </c>
      <c r="M13" s="11" t="s">
        <v>51</v>
      </c>
      <c r="N13" s="11"/>
      <c r="O13" s="11"/>
      <c r="P13" s="11"/>
    </row>
    <row r="14" customFormat="false" ht="46.25" hidden="false" customHeight="false" outlineLevel="0" collapsed="false">
      <c r="A14" s="8" t="s">
        <v>102</v>
      </c>
      <c r="B14" s="9" t="s">
        <v>103</v>
      </c>
      <c r="C14" s="9" t="s">
        <v>16</v>
      </c>
      <c r="D14" s="9" t="s">
        <v>104</v>
      </c>
      <c r="E14" s="10" t="s">
        <v>83</v>
      </c>
      <c r="F14" s="10" t="s">
        <v>83</v>
      </c>
      <c r="G14" s="10" t="s">
        <v>83</v>
      </c>
      <c r="H14" s="10" t="s">
        <v>83</v>
      </c>
      <c r="I14" s="9" t="s">
        <v>105</v>
      </c>
      <c r="J14" s="9" t="s">
        <v>106</v>
      </c>
      <c r="K14" s="9" t="s">
        <v>50</v>
      </c>
      <c r="L14" s="9" t="s">
        <v>107</v>
      </c>
      <c r="M14" s="11" t="s">
        <v>51</v>
      </c>
      <c r="N14" s="11"/>
      <c r="O14" s="11"/>
      <c r="P14" s="11"/>
    </row>
    <row r="15" customFormat="false" ht="46.25" hidden="false" customHeight="false" outlineLevel="0" collapsed="false">
      <c r="A15" s="8" t="s">
        <v>108</v>
      </c>
      <c r="B15" s="9" t="s">
        <v>103</v>
      </c>
      <c r="C15" s="9" t="s">
        <v>16</v>
      </c>
      <c r="D15" s="9" t="s">
        <v>109</v>
      </c>
      <c r="E15" s="10" t="s">
        <v>83</v>
      </c>
      <c r="F15" s="10"/>
      <c r="G15" s="10"/>
      <c r="H15" s="10"/>
      <c r="I15" s="9" t="s">
        <v>110</v>
      </c>
      <c r="J15" s="9" t="s">
        <v>111</v>
      </c>
      <c r="K15" s="9" t="s">
        <v>50</v>
      </c>
      <c r="L15" s="9" t="s">
        <v>112</v>
      </c>
      <c r="M15" s="11" t="s">
        <v>51</v>
      </c>
      <c r="N15" s="11"/>
      <c r="O15" s="11"/>
      <c r="P15" s="11"/>
    </row>
    <row r="16" customFormat="false" ht="35.05" hidden="false" customHeight="false" outlineLevel="0" collapsed="false">
      <c r="A16" s="8" t="s">
        <v>113</v>
      </c>
      <c r="B16" s="9" t="s">
        <v>103</v>
      </c>
      <c r="C16" s="9" t="s">
        <v>16</v>
      </c>
      <c r="D16" s="9" t="s">
        <v>114</v>
      </c>
      <c r="E16" s="10" t="s">
        <v>83</v>
      </c>
      <c r="F16" s="10"/>
      <c r="G16" s="10"/>
      <c r="H16" s="10"/>
      <c r="I16" s="9" t="s">
        <v>115</v>
      </c>
      <c r="J16" s="9" t="s">
        <v>116</v>
      </c>
      <c r="K16" s="9" t="s">
        <v>50</v>
      </c>
      <c r="L16" s="9"/>
      <c r="M16" s="11" t="s">
        <v>51</v>
      </c>
      <c r="N16" s="11"/>
      <c r="O16" s="11"/>
      <c r="P16" s="11"/>
    </row>
    <row r="17" customFormat="false" ht="23.85" hidden="false" customHeight="false" outlineLevel="0" collapsed="false">
      <c r="A17" s="8" t="s">
        <v>117</v>
      </c>
      <c r="B17" s="9" t="s">
        <v>103</v>
      </c>
      <c r="C17" s="9" t="s">
        <v>16</v>
      </c>
      <c r="D17" s="9" t="s">
        <v>118</v>
      </c>
      <c r="E17" s="10"/>
      <c r="F17" s="10" t="s">
        <v>83</v>
      </c>
      <c r="G17" s="10" t="s">
        <v>83</v>
      </c>
      <c r="H17" s="10"/>
      <c r="I17" s="9" t="s">
        <v>119</v>
      </c>
      <c r="J17" s="9" t="s">
        <v>120</v>
      </c>
      <c r="K17" s="9" t="s">
        <v>68</v>
      </c>
      <c r="L17" s="9"/>
      <c r="M17" s="11" t="s">
        <v>51</v>
      </c>
      <c r="N17" s="11"/>
      <c r="O17" s="11"/>
      <c r="P17" s="11"/>
    </row>
    <row r="18" customFormat="false" ht="23.85" hidden="false" customHeight="false" outlineLevel="0" collapsed="false">
      <c r="A18" s="8" t="s">
        <v>121</v>
      </c>
      <c r="B18" s="9" t="s">
        <v>103</v>
      </c>
      <c r="C18" s="9" t="s">
        <v>16</v>
      </c>
      <c r="D18" s="9" t="s">
        <v>122</v>
      </c>
      <c r="E18" s="10"/>
      <c r="F18" s="10"/>
      <c r="G18" s="10"/>
      <c r="H18" s="10" t="s">
        <v>83</v>
      </c>
      <c r="I18" s="9" t="s">
        <v>123</v>
      </c>
      <c r="J18" s="9" t="s">
        <v>124</v>
      </c>
      <c r="K18" s="9" t="s">
        <v>91</v>
      </c>
      <c r="L18" s="9"/>
      <c r="M18" s="11" t="s">
        <v>51</v>
      </c>
      <c r="N18" s="11"/>
      <c r="O18" s="11"/>
      <c r="P18" s="11"/>
    </row>
    <row r="19" customFormat="false" ht="23.85" hidden="false" customHeight="false" outlineLevel="0" collapsed="false">
      <c r="A19" s="8" t="s">
        <v>125</v>
      </c>
      <c r="B19" s="9" t="s">
        <v>103</v>
      </c>
      <c r="C19" s="9" t="s">
        <v>16</v>
      </c>
      <c r="D19" s="9" t="s">
        <v>126</v>
      </c>
      <c r="E19" s="10"/>
      <c r="F19" s="10"/>
      <c r="G19" s="10"/>
      <c r="H19" s="10"/>
      <c r="I19" s="9" t="s">
        <v>127</v>
      </c>
      <c r="J19" s="9" t="s">
        <v>128</v>
      </c>
      <c r="K19" s="9" t="s">
        <v>50</v>
      </c>
      <c r="L19" s="9"/>
      <c r="M19" s="11" t="s">
        <v>51</v>
      </c>
      <c r="N19" s="11"/>
      <c r="O19" s="11"/>
      <c r="P19" s="11"/>
    </row>
    <row r="20" customFormat="false" ht="35.05" hidden="false" customHeight="false" outlineLevel="0" collapsed="false">
      <c r="A20" s="8" t="s">
        <v>129</v>
      </c>
      <c r="B20" s="9" t="s">
        <v>130</v>
      </c>
      <c r="C20" s="9" t="s">
        <v>17</v>
      </c>
      <c r="D20" s="9" t="s">
        <v>131</v>
      </c>
      <c r="E20" s="10" t="s">
        <v>83</v>
      </c>
      <c r="F20" s="10" t="s">
        <v>83</v>
      </c>
      <c r="G20" s="10" t="s">
        <v>83</v>
      </c>
      <c r="H20" s="10" t="s">
        <v>83</v>
      </c>
      <c r="I20" s="9" t="s">
        <v>132</v>
      </c>
      <c r="J20" s="9" t="s">
        <v>133</v>
      </c>
      <c r="K20" s="9" t="s">
        <v>134</v>
      </c>
      <c r="L20" s="9"/>
      <c r="M20" s="11" t="s">
        <v>51</v>
      </c>
      <c r="N20" s="11"/>
      <c r="O20" s="11"/>
      <c r="P20" s="11"/>
    </row>
    <row r="21" customFormat="false" ht="23.85" hidden="false" customHeight="false" outlineLevel="0" collapsed="false">
      <c r="A21" s="8" t="s">
        <v>135</v>
      </c>
      <c r="B21" s="9" t="s">
        <v>130</v>
      </c>
      <c r="C21" s="9" t="s">
        <v>17</v>
      </c>
      <c r="D21" s="9" t="s">
        <v>109</v>
      </c>
      <c r="E21" s="10" t="s">
        <v>83</v>
      </c>
      <c r="F21" s="10"/>
      <c r="G21" s="10"/>
      <c r="H21" s="10"/>
      <c r="I21" s="9" t="s">
        <v>136</v>
      </c>
      <c r="J21" s="9" t="s">
        <v>137</v>
      </c>
      <c r="K21" s="9" t="s">
        <v>50</v>
      </c>
      <c r="L21" s="9" t="s">
        <v>138</v>
      </c>
      <c r="M21" s="11" t="s">
        <v>51</v>
      </c>
      <c r="N21" s="11"/>
      <c r="O21" s="11"/>
      <c r="P21" s="11"/>
    </row>
    <row r="22" customFormat="false" ht="23.85" hidden="false" customHeight="false" outlineLevel="0" collapsed="false">
      <c r="A22" s="8" t="s">
        <v>139</v>
      </c>
      <c r="B22" s="9" t="s">
        <v>130</v>
      </c>
      <c r="C22" s="9" t="s">
        <v>17</v>
      </c>
      <c r="D22" s="9" t="s">
        <v>140</v>
      </c>
      <c r="E22" s="10" t="s">
        <v>83</v>
      </c>
      <c r="F22" s="10"/>
      <c r="G22" s="10"/>
      <c r="H22" s="10"/>
      <c r="I22" s="9" t="s">
        <v>141</v>
      </c>
      <c r="J22" s="9" t="s">
        <v>142</v>
      </c>
      <c r="K22" s="9" t="s">
        <v>50</v>
      </c>
      <c r="L22" s="9" t="s">
        <v>143</v>
      </c>
      <c r="M22" s="11" t="s">
        <v>51</v>
      </c>
      <c r="N22" s="11"/>
      <c r="O22" s="11"/>
      <c r="P22" s="11"/>
    </row>
    <row r="23" customFormat="false" ht="35.05" hidden="false" customHeight="false" outlineLevel="0" collapsed="false">
      <c r="A23" s="8" t="s">
        <v>144</v>
      </c>
      <c r="B23" s="9" t="s">
        <v>130</v>
      </c>
      <c r="C23" s="9" t="s">
        <v>17</v>
      </c>
      <c r="D23" s="9" t="s">
        <v>131</v>
      </c>
      <c r="E23" s="10" t="s">
        <v>83</v>
      </c>
      <c r="F23" s="10" t="s">
        <v>83</v>
      </c>
      <c r="G23" s="10" t="s">
        <v>83</v>
      </c>
      <c r="H23" s="10" t="s">
        <v>83</v>
      </c>
      <c r="I23" s="9" t="s">
        <v>145</v>
      </c>
      <c r="J23" s="9" t="s">
        <v>146</v>
      </c>
      <c r="K23" s="9" t="s">
        <v>134</v>
      </c>
      <c r="L23" s="9"/>
      <c r="M23" s="11" t="s">
        <v>51</v>
      </c>
      <c r="N23" s="11"/>
      <c r="O23" s="11"/>
      <c r="P23" s="11"/>
    </row>
    <row r="24" customFormat="false" ht="23.85" hidden="false" customHeight="false" outlineLevel="0" collapsed="false">
      <c r="A24" s="8" t="s">
        <v>147</v>
      </c>
      <c r="B24" s="9" t="s">
        <v>130</v>
      </c>
      <c r="C24" s="9" t="s">
        <v>17</v>
      </c>
      <c r="D24" s="9" t="s">
        <v>148</v>
      </c>
      <c r="E24" s="10" t="s">
        <v>83</v>
      </c>
      <c r="F24" s="10"/>
      <c r="G24" s="10"/>
      <c r="H24" s="10"/>
      <c r="I24" s="9" t="s">
        <v>149</v>
      </c>
      <c r="J24" s="9" t="s">
        <v>150</v>
      </c>
      <c r="K24" s="9" t="s">
        <v>50</v>
      </c>
      <c r="L24" s="9" t="s">
        <v>151</v>
      </c>
      <c r="M24" s="11" t="s">
        <v>51</v>
      </c>
      <c r="N24" s="11"/>
      <c r="O24" s="11"/>
      <c r="P24" s="11"/>
    </row>
    <row r="25" customFormat="false" ht="23.85" hidden="false" customHeight="false" outlineLevel="0" collapsed="false">
      <c r="A25" s="8" t="s">
        <v>152</v>
      </c>
      <c r="B25" s="9" t="s">
        <v>130</v>
      </c>
      <c r="C25" s="9" t="s">
        <v>17</v>
      </c>
      <c r="D25" s="9" t="s">
        <v>148</v>
      </c>
      <c r="E25" s="10"/>
      <c r="F25" s="10" t="s">
        <v>83</v>
      </c>
      <c r="G25" s="10" t="s">
        <v>83</v>
      </c>
      <c r="H25" s="10" t="s">
        <v>83</v>
      </c>
      <c r="I25" s="9" t="s">
        <v>153</v>
      </c>
      <c r="J25" s="9" t="s">
        <v>154</v>
      </c>
      <c r="K25" s="9" t="s">
        <v>68</v>
      </c>
      <c r="L25" s="9"/>
      <c r="M25" s="11" t="s">
        <v>51</v>
      </c>
      <c r="N25" s="11"/>
      <c r="O25" s="11"/>
      <c r="P25" s="11"/>
    </row>
    <row r="26" customFormat="false" ht="23.85" hidden="false" customHeight="false" outlineLevel="0" collapsed="false">
      <c r="A26" s="8" t="s">
        <v>155</v>
      </c>
      <c r="B26" s="9" t="s">
        <v>130</v>
      </c>
      <c r="C26" s="9" t="s">
        <v>17</v>
      </c>
      <c r="D26" s="9" t="s">
        <v>156</v>
      </c>
      <c r="E26" s="10" t="s">
        <v>83</v>
      </c>
      <c r="F26" s="10" t="s">
        <v>83</v>
      </c>
      <c r="G26" s="10" t="s">
        <v>83</v>
      </c>
      <c r="H26" s="10" t="s">
        <v>83</v>
      </c>
      <c r="I26" s="9" t="s">
        <v>157</v>
      </c>
      <c r="J26" s="9" t="s">
        <v>158</v>
      </c>
      <c r="K26" s="9" t="s">
        <v>50</v>
      </c>
      <c r="L26" s="9" t="s">
        <v>159</v>
      </c>
      <c r="M26" s="11" t="s">
        <v>51</v>
      </c>
      <c r="N26" s="11"/>
      <c r="O26" s="11"/>
      <c r="P26" s="11"/>
    </row>
    <row r="27" customFormat="false" ht="23.85" hidden="false" customHeight="false" outlineLevel="0" collapsed="false">
      <c r="A27" s="8" t="s">
        <v>160</v>
      </c>
      <c r="B27" s="9" t="s">
        <v>161</v>
      </c>
      <c r="C27" s="9" t="s">
        <v>18</v>
      </c>
      <c r="D27" s="9" t="s">
        <v>162</v>
      </c>
      <c r="E27" s="10" t="s">
        <v>83</v>
      </c>
      <c r="F27" s="10" t="s">
        <v>83</v>
      </c>
      <c r="G27" s="10" t="s">
        <v>83</v>
      </c>
      <c r="H27" s="10" t="s">
        <v>83</v>
      </c>
      <c r="I27" s="9" t="s">
        <v>163</v>
      </c>
      <c r="J27" s="9" t="s">
        <v>164</v>
      </c>
      <c r="K27" s="9" t="s">
        <v>50</v>
      </c>
      <c r="L27" s="9"/>
      <c r="M27" s="11" t="s">
        <v>51</v>
      </c>
      <c r="N27" s="11"/>
      <c r="O27" s="11"/>
      <c r="P27" s="11"/>
    </row>
    <row r="28" customFormat="false" ht="35.05" hidden="false" customHeight="false" outlineLevel="0" collapsed="false">
      <c r="A28" s="8" t="s">
        <v>165</v>
      </c>
      <c r="B28" s="9" t="s">
        <v>161</v>
      </c>
      <c r="C28" s="9" t="s">
        <v>18</v>
      </c>
      <c r="D28" s="9" t="s">
        <v>131</v>
      </c>
      <c r="E28" s="10" t="s">
        <v>83</v>
      </c>
      <c r="F28" s="10" t="s">
        <v>83</v>
      </c>
      <c r="G28" s="10" t="s">
        <v>83</v>
      </c>
      <c r="H28" s="10" t="s">
        <v>83</v>
      </c>
      <c r="I28" s="9" t="s">
        <v>166</v>
      </c>
      <c r="J28" s="9" t="s">
        <v>167</v>
      </c>
      <c r="K28" s="9" t="s">
        <v>134</v>
      </c>
      <c r="L28" s="9" t="s">
        <v>168</v>
      </c>
      <c r="M28" s="11" t="s">
        <v>51</v>
      </c>
      <c r="N28" s="11"/>
      <c r="O28" s="11"/>
      <c r="P28" s="11"/>
    </row>
    <row r="29" customFormat="false" ht="23.85" hidden="false" customHeight="false" outlineLevel="0" collapsed="false">
      <c r="A29" s="8" t="s">
        <v>169</v>
      </c>
      <c r="B29" s="9" t="s">
        <v>161</v>
      </c>
      <c r="C29" s="9" t="s">
        <v>18</v>
      </c>
      <c r="D29" s="9" t="s">
        <v>156</v>
      </c>
      <c r="E29" s="10" t="s">
        <v>83</v>
      </c>
      <c r="F29" s="10" t="s">
        <v>83</v>
      </c>
      <c r="G29" s="10" t="s">
        <v>83</v>
      </c>
      <c r="H29" s="10" t="s">
        <v>83</v>
      </c>
      <c r="I29" s="9" t="s">
        <v>170</v>
      </c>
      <c r="J29" s="9" t="s">
        <v>171</v>
      </c>
      <c r="K29" s="9" t="s">
        <v>50</v>
      </c>
      <c r="L29" s="9" t="s">
        <v>159</v>
      </c>
      <c r="M29" s="11" t="s">
        <v>51</v>
      </c>
      <c r="N29" s="11"/>
      <c r="O29" s="11"/>
      <c r="P29" s="11"/>
    </row>
    <row r="30" customFormat="false" ht="23.85" hidden="false" customHeight="false" outlineLevel="0" collapsed="false">
      <c r="A30" s="8" t="s">
        <v>172</v>
      </c>
      <c r="B30" s="9" t="s">
        <v>161</v>
      </c>
      <c r="C30" s="9" t="s">
        <v>18</v>
      </c>
      <c r="D30" s="9" t="s">
        <v>148</v>
      </c>
      <c r="E30" s="10" t="s">
        <v>83</v>
      </c>
      <c r="F30" s="10"/>
      <c r="G30" s="10"/>
      <c r="H30" s="10"/>
      <c r="I30" s="9" t="s">
        <v>173</v>
      </c>
      <c r="J30" s="9" t="s">
        <v>174</v>
      </c>
      <c r="K30" s="9" t="s">
        <v>50</v>
      </c>
      <c r="L30" s="9"/>
      <c r="M30" s="11" t="s">
        <v>51</v>
      </c>
      <c r="N30" s="11"/>
      <c r="O30" s="11"/>
      <c r="P30" s="11"/>
    </row>
    <row r="31" customFormat="false" ht="23.85" hidden="false" customHeight="false" outlineLevel="0" collapsed="false">
      <c r="A31" s="8" t="s">
        <v>175</v>
      </c>
      <c r="B31" s="9" t="s">
        <v>161</v>
      </c>
      <c r="C31" s="9" t="s">
        <v>23</v>
      </c>
      <c r="D31" s="9" t="s">
        <v>176</v>
      </c>
      <c r="E31" s="10" t="s">
        <v>83</v>
      </c>
      <c r="F31" s="10" t="s">
        <v>83</v>
      </c>
      <c r="G31" s="10" t="s">
        <v>83</v>
      </c>
      <c r="H31" s="10" t="s">
        <v>83</v>
      </c>
      <c r="I31" s="9" t="s">
        <v>177</v>
      </c>
      <c r="J31" s="9" t="s">
        <v>178</v>
      </c>
      <c r="K31" s="9" t="s">
        <v>50</v>
      </c>
      <c r="L31" s="9" t="s">
        <v>101</v>
      </c>
      <c r="M31" s="11" t="s">
        <v>51</v>
      </c>
      <c r="N31" s="11"/>
      <c r="O31" s="11"/>
      <c r="P31" s="11"/>
    </row>
    <row r="32" customFormat="false" ht="35.05" hidden="false" customHeight="false" outlineLevel="0" collapsed="false">
      <c r="A32" s="8" t="s">
        <v>179</v>
      </c>
      <c r="B32" s="9" t="s">
        <v>180</v>
      </c>
      <c r="C32" s="9" t="s">
        <v>19</v>
      </c>
      <c r="D32" s="9" t="s">
        <v>131</v>
      </c>
      <c r="E32" s="10" t="s">
        <v>83</v>
      </c>
      <c r="F32" s="10" t="s">
        <v>83</v>
      </c>
      <c r="G32" s="10" t="s">
        <v>83</v>
      </c>
      <c r="H32" s="10" t="s">
        <v>83</v>
      </c>
      <c r="I32" s="9" t="s">
        <v>181</v>
      </c>
      <c r="J32" s="9" t="s">
        <v>182</v>
      </c>
      <c r="K32" s="9" t="s">
        <v>134</v>
      </c>
      <c r="L32" s="9"/>
      <c r="M32" s="11" t="s">
        <v>51</v>
      </c>
      <c r="N32" s="11"/>
      <c r="O32" s="11"/>
      <c r="P32" s="11"/>
    </row>
    <row r="33" customFormat="false" ht="35.05" hidden="false" customHeight="false" outlineLevel="0" collapsed="false">
      <c r="A33" s="8" t="s">
        <v>183</v>
      </c>
      <c r="B33" s="9" t="s">
        <v>180</v>
      </c>
      <c r="C33" s="9" t="s">
        <v>20</v>
      </c>
      <c r="D33" s="9" t="s">
        <v>131</v>
      </c>
      <c r="E33" s="10" t="s">
        <v>83</v>
      </c>
      <c r="F33" s="10" t="s">
        <v>83</v>
      </c>
      <c r="G33" s="10" t="s">
        <v>83</v>
      </c>
      <c r="H33" s="10" t="s">
        <v>83</v>
      </c>
      <c r="I33" s="9" t="s">
        <v>184</v>
      </c>
      <c r="J33" s="9" t="s">
        <v>185</v>
      </c>
      <c r="K33" s="9" t="s">
        <v>134</v>
      </c>
      <c r="L33" s="9"/>
      <c r="M33" s="11" t="s">
        <v>51</v>
      </c>
      <c r="N33" s="11"/>
      <c r="O33" s="11"/>
      <c r="P33" s="11"/>
    </row>
    <row r="34" customFormat="false" ht="35.05" hidden="false" customHeight="false" outlineLevel="0" collapsed="false">
      <c r="A34" s="8" t="s">
        <v>186</v>
      </c>
      <c r="B34" s="9" t="s">
        <v>180</v>
      </c>
      <c r="C34" s="9" t="s">
        <v>20</v>
      </c>
      <c r="D34" s="9" t="s">
        <v>131</v>
      </c>
      <c r="E34" s="10" t="s">
        <v>83</v>
      </c>
      <c r="F34" s="10" t="s">
        <v>83</v>
      </c>
      <c r="G34" s="10" t="s">
        <v>83</v>
      </c>
      <c r="H34" s="10" t="s">
        <v>83</v>
      </c>
      <c r="I34" s="9" t="s">
        <v>187</v>
      </c>
      <c r="J34" s="9" t="s">
        <v>188</v>
      </c>
      <c r="K34" s="9" t="s">
        <v>134</v>
      </c>
      <c r="L34" s="9" t="s">
        <v>189</v>
      </c>
      <c r="M34" s="11" t="s">
        <v>51</v>
      </c>
      <c r="N34" s="11"/>
      <c r="O34" s="11"/>
      <c r="P34" s="11"/>
    </row>
    <row r="35" customFormat="false" ht="23.85" hidden="false" customHeight="false" outlineLevel="0" collapsed="false">
      <c r="A35" s="8" t="s">
        <v>190</v>
      </c>
      <c r="B35" s="9" t="s">
        <v>180</v>
      </c>
      <c r="C35" s="9" t="s">
        <v>20</v>
      </c>
      <c r="D35" s="9" t="s">
        <v>131</v>
      </c>
      <c r="E35" s="10" t="s">
        <v>83</v>
      </c>
      <c r="F35" s="10" t="s">
        <v>83</v>
      </c>
      <c r="G35" s="10" t="s">
        <v>83</v>
      </c>
      <c r="H35" s="10" t="s">
        <v>83</v>
      </c>
      <c r="I35" s="9" t="s">
        <v>191</v>
      </c>
      <c r="J35" s="9" t="s">
        <v>192</v>
      </c>
      <c r="K35" s="9" t="s">
        <v>68</v>
      </c>
      <c r="L35" s="9"/>
      <c r="M35" s="11" t="s">
        <v>51</v>
      </c>
      <c r="N35" s="11"/>
      <c r="O35" s="11"/>
      <c r="P35" s="11"/>
    </row>
    <row r="36" customFormat="false" ht="35.05" hidden="false" customHeight="false" outlineLevel="0" collapsed="false">
      <c r="A36" s="8" t="s">
        <v>193</v>
      </c>
      <c r="B36" s="9" t="s">
        <v>180</v>
      </c>
      <c r="C36" s="9" t="s">
        <v>20</v>
      </c>
      <c r="D36" s="9" t="s">
        <v>131</v>
      </c>
      <c r="E36" s="10" t="s">
        <v>83</v>
      </c>
      <c r="F36" s="10" t="s">
        <v>83</v>
      </c>
      <c r="G36" s="10" t="s">
        <v>83</v>
      </c>
      <c r="H36" s="10" t="s">
        <v>83</v>
      </c>
      <c r="I36" s="9" t="s">
        <v>194</v>
      </c>
      <c r="J36" s="9" t="s">
        <v>195</v>
      </c>
      <c r="K36" s="9" t="s">
        <v>134</v>
      </c>
      <c r="L36" s="9"/>
      <c r="M36" s="11" t="s">
        <v>51</v>
      </c>
      <c r="N36" s="11"/>
      <c r="O36" s="11"/>
      <c r="P36" s="11"/>
    </row>
    <row r="37" customFormat="false" ht="35.05" hidden="false" customHeight="false" outlineLevel="0" collapsed="false">
      <c r="A37" s="8" t="s">
        <v>196</v>
      </c>
      <c r="B37" s="9" t="s">
        <v>180</v>
      </c>
      <c r="C37" s="9" t="s">
        <v>20</v>
      </c>
      <c r="D37" s="9" t="s">
        <v>131</v>
      </c>
      <c r="E37" s="10" t="s">
        <v>83</v>
      </c>
      <c r="F37" s="10" t="s">
        <v>83</v>
      </c>
      <c r="G37" s="10" t="s">
        <v>83</v>
      </c>
      <c r="H37" s="10" t="s">
        <v>83</v>
      </c>
      <c r="I37" s="9" t="s">
        <v>197</v>
      </c>
      <c r="J37" s="9" t="s">
        <v>198</v>
      </c>
      <c r="K37" s="9" t="s">
        <v>134</v>
      </c>
      <c r="L37" s="9"/>
      <c r="M37" s="11" t="s">
        <v>51</v>
      </c>
      <c r="N37" s="11"/>
      <c r="O37" s="11"/>
      <c r="P37" s="11"/>
    </row>
    <row r="38" customFormat="false" ht="23.85" hidden="false" customHeight="false" outlineLevel="0" collapsed="false">
      <c r="A38" s="8" t="s">
        <v>199</v>
      </c>
      <c r="B38" s="9" t="s">
        <v>180</v>
      </c>
      <c r="C38" s="9" t="s">
        <v>20</v>
      </c>
      <c r="D38" s="9" t="s">
        <v>156</v>
      </c>
      <c r="E38" s="10" t="s">
        <v>83</v>
      </c>
      <c r="F38" s="10" t="s">
        <v>83</v>
      </c>
      <c r="G38" s="10" t="s">
        <v>83</v>
      </c>
      <c r="H38" s="10" t="s">
        <v>83</v>
      </c>
      <c r="I38" s="9" t="s">
        <v>200</v>
      </c>
      <c r="J38" s="9" t="s">
        <v>201</v>
      </c>
      <c r="K38" s="9" t="s">
        <v>50</v>
      </c>
      <c r="L38" s="9" t="s">
        <v>202</v>
      </c>
      <c r="M38" s="11" t="s">
        <v>51</v>
      </c>
      <c r="N38" s="11"/>
      <c r="O38" s="11"/>
      <c r="P38" s="11"/>
    </row>
    <row r="39" customFormat="false" ht="35.05" hidden="false" customHeight="false" outlineLevel="0" collapsed="false">
      <c r="A39" s="8" t="s">
        <v>203</v>
      </c>
      <c r="B39" s="9" t="s">
        <v>180</v>
      </c>
      <c r="C39" s="9" t="s">
        <v>20</v>
      </c>
      <c r="D39" s="9" t="s">
        <v>148</v>
      </c>
      <c r="E39" s="10" t="s">
        <v>83</v>
      </c>
      <c r="F39" s="10"/>
      <c r="G39" s="10"/>
      <c r="H39" s="10"/>
      <c r="I39" s="9" t="s">
        <v>204</v>
      </c>
      <c r="J39" s="9" t="s">
        <v>205</v>
      </c>
      <c r="K39" s="9" t="s">
        <v>50</v>
      </c>
      <c r="L39" s="9"/>
      <c r="M39" s="11" t="s">
        <v>51</v>
      </c>
      <c r="N39" s="11"/>
      <c r="O39" s="11"/>
      <c r="P39" s="11"/>
    </row>
    <row r="40" customFormat="false" ht="23.85" hidden="false" customHeight="false" outlineLevel="0" collapsed="false">
      <c r="A40" s="8" t="s">
        <v>206</v>
      </c>
      <c r="B40" s="9" t="s">
        <v>180</v>
      </c>
      <c r="C40" s="9" t="s">
        <v>20</v>
      </c>
      <c r="D40" s="9" t="s">
        <v>207</v>
      </c>
      <c r="E40" s="10" t="s">
        <v>83</v>
      </c>
      <c r="F40" s="10"/>
      <c r="G40" s="10"/>
      <c r="H40" s="10"/>
      <c r="I40" s="9" t="s">
        <v>208</v>
      </c>
      <c r="J40" s="9" t="s">
        <v>209</v>
      </c>
      <c r="K40" s="9" t="s">
        <v>50</v>
      </c>
      <c r="L40" s="9"/>
      <c r="M40" s="11" t="s">
        <v>51</v>
      </c>
      <c r="N40" s="11"/>
      <c r="O40" s="11"/>
      <c r="P40" s="11"/>
    </row>
    <row r="41" customFormat="false" ht="23.85" hidden="false" customHeight="false" outlineLevel="0" collapsed="false">
      <c r="A41" s="8" t="s">
        <v>210</v>
      </c>
      <c r="B41" s="9" t="s">
        <v>211</v>
      </c>
      <c r="C41" s="9" t="s">
        <v>17</v>
      </c>
      <c r="D41" s="9" t="s">
        <v>212</v>
      </c>
      <c r="E41" s="10" t="s">
        <v>83</v>
      </c>
      <c r="F41" s="10"/>
      <c r="G41" s="10"/>
      <c r="H41" s="10"/>
      <c r="I41" s="9" t="s">
        <v>213</v>
      </c>
      <c r="J41" s="9" t="s">
        <v>214</v>
      </c>
      <c r="K41" s="9" t="s">
        <v>50</v>
      </c>
      <c r="L41" s="9" t="s">
        <v>215</v>
      </c>
      <c r="M41" s="11" t="s">
        <v>51</v>
      </c>
      <c r="N41" s="11"/>
      <c r="O41" s="11"/>
      <c r="P41" s="11"/>
    </row>
    <row r="42" customFormat="false" ht="23.85" hidden="false" customHeight="false" outlineLevel="0" collapsed="false">
      <c r="A42" s="8" t="s">
        <v>216</v>
      </c>
      <c r="B42" s="9" t="s">
        <v>211</v>
      </c>
      <c r="C42" s="9" t="s">
        <v>24</v>
      </c>
      <c r="D42" s="9" t="s">
        <v>217</v>
      </c>
      <c r="E42" s="10" t="s">
        <v>83</v>
      </c>
      <c r="F42" s="10" t="s">
        <v>83</v>
      </c>
      <c r="G42" s="10" t="s">
        <v>83</v>
      </c>
      <c r="H42" s="10" t="s">
        <v>83</v>
      </c>
      <c r="I42" s="9" t="s">
        <v>218</v>
      </c>
      <c r="J42" s="9" t="s">
        <v>219</v>
      </c>
      <c r="K42" s="9" t="s">
        <v>50</v>
      </c>
      <c r="L42" s="9" t="s">
        <v>220</v>
      </c>
      <c r="M42" s="11" t="s">
        <v>51</v>
      </c>
      <c r="N42" s="11"/>
      <c r="O42" s="11"/>
      <c r="P42" s="11"/>
    </row>
    <row r="43" customFormat="false" ht="23.85" hidden="false" customHeight="false" outlineLevel="0" collapsed="false">
      <c r="A43" s="8" t="s">
        <v>221</v>
      </c>
      <c r="B43" s="9" t="s">
        <v>222</v>
      </c>
      <c r="C43" s="9" t="s">
        <v>21</v>
      </c>
      <c r="D43" s="9" t="s">
        <v>223</v>
      </c>
      <c r="E43" s="10"/>
      <c r="F43" s="10"/>
      <c r="G43" s="10"/>
      <c r="H43" s="10"/>
      <c r="I43" s="9" t="s">
        <v>224</v>
      </c>
      <c r="J43" s="9" t="s">
        <v>225</v>
      </c>
      <c r="K43" s="9" t="s">
        <v>50</v>
      </c>
      <c r="L43" s="9"/>
      <c r="M43" s="11" t="s">
        <v>51</v>
      </c>
      <c r="N43" s="11"/>
      <c r="O43" s="11"/>
      <c r="P43" s="11"/>
    </row>
    <row r="44" customFormat="false" ht="23.85" hidden="false" customHeight="false" outlineLevel="0" collapsed="false">
      <c r="A44" s="8" t="s">
        <v>226</v>
      </c>
      <c r="B44" s="9" t="s">
        <v>222</v>
      </c>
      <c r="C44" s="9" t="s">
        <v>21</v>
      </c>
      <c r="D44" s="9" t="s">
        <v>227</v>
      </c>
      <c r="E44" s="10"/>
      <c r="F44" s="10" t="s">
        <v>83</v>
      </c>
      <c r="G44" s="10" t="s">
        <v>83</v>
      </c>
      <c r="H44" s="10" t="s">
        <v>83</v>
      </c>
      <c r="I44" s="9" t="s">
        <v>228</v>
      </c>
      <c r="J44" s="9" t="s">
        <v>229</v>
      </c>
      <c r="K44" s="9" t="s">
        <v>68</v>
      </c>
      <c r="L44" s="9"/>
      <c r="M44" s="11" t="s">
        <v>51</v>
      </c>
      <c r="N44" s="11"/>
      <c r="O44" s="11"/>
      <c r="P44" s="11"/>
    </row>
    <row r="45" customFormat="false" ht="23.85" hidden="false" customHeight="false" outlineLevel="0" collapsed="false">
      <c r="A45" s="8" t="s">
        <v>230</v>
      </c>
      <c r="B45" s="9" t="s">
        <v>222</v>
      </c>
      <c r="C45" s="9" t="s">
        <v>24</v>
      </c>
      <c r="D45" s="9" t="s">
        <v>231</v>
      </c>
      <c r="E45" s="10"/>
      <c r="F45" s="10"/>
      <c r="G45" s="10"/>
      <c r="H45" s="10"/>
      <c r="I45" s="9" t="s">
        <v>232</v>
      </c>
      <c r="J45" s="9" t="s">
        <v>233</v>
      </c>
      <c r="K45" s="9" t="s">
        <v>68</v>
      </c>
      <c r="L45" s="9" t="s">
        <v>220</v>
      </c>
      <c r="M45" s="11" t="s">
        <v>51</v>
      </c>
      <c r="N45" s="11"/>
      <c r="O45" s="11"/>
      <c r="P45" s="11"/>
    </row>
    <row r="46" customFormat="false" ht="23.85" hidden="false" customHeight="false" outlineLevel="0" collapsed="false">
      <c r="A46" s="8" t="s">
        <v>234</v>
      </c>
      <c r="B46" s="9" t="s">
        <v>235</v>
      </c>
      <c r="C46" s="9" t="s">
        <v>22</v>
      </c>
      <c r="D46" s="9" t="s">
        <v>236</v>
      </c>
      <c r="E46" s="10"/>
      <c r="F46" s="10"/>
      <c r="G46" s="10"/>
      <c r="H46" s="10" t="s">
        <v>83</v>
      </c>
      <c r="I46" s="9" t="s">
        <v>237</v>
      </c>
      <c r="J46" s="9" t="s">
        <v>238</v>
      </c>
      <c r="K46" s="9" t="s">
        <v>91</v>
      </c>
      <c r="L46" s="9"/>
      <c r="M46" s="11" t="s">
        <v>51</v>
      </c>
      <c r="N46" s="11"/>
      <c r="O46" s="11"/>
      <c r="P46" s="11"/>
    </row>
    <row r="47" customFormat="false" ht="35.05" hidden="false" customHeight="false" outlineLevel="0" collapsed="false">
      <c r="A47" s="8" t="s">
        <v>239</v>
      </c>
      <c r="B47" s="9" t="s">
        <v>235</v>
      </c>
      <c r="C47" s="9" t="s">
        <v>22</v>
      </c>
      <c r="D47" s="9" t="s">
        <v>240</v>
      </c>
      <c r="E47" s="10"/>
      <c r="F47" s="10"/>
      <c r="G47" s="10"/>
      <c r="H47" s="10" t="s">
        <v>83</v>
      </c>
      <c r="I47" s="9" t="s">
        <v>241</v>
      </c>
      <c r="J47" s="9" t="s">
        <v>242</v>
      </c>
      <c r="K47" s="9" t="s">
        <v>91</v>
      </c>
      <c r="L47" s="9"/>
      <c r="M47" s="11" t="s">
        <v>51</v>
      </c>
      <c r="N47" s="11"/>
      <c r="O47" s="11"/>
      <c r="P47" s="11"/>
    </row>
    <row r="48" customFormat="false" ht="23.85" hidden="false" customHeight="false" outlineLevel="0" collapsed="false">
      <c r="A48" s="8" t="s">
        <v>243</v>
      </c>
      <c r="B48" s="9" t="s">
        <v>235</v>
      </c>
      <c r="C48" s="9" t="s">
        <v>23</v>
      </c>
      <c r="D48" s="9" t="s">
        <v>244</v>
      </c>
      <c r="E48" s="10"/>
      <c r="F48" s="10"/>
      <c r="G48" s="10"/>
      <c r="H48" s="10" t="s">
        <v>83</v>
      </c>
      <c r="I48" s="9" t="s">
        <v>245</v>
      </c>
      <c r="J48" s="9" t="s">
        <v>246</v>
      </c>
      <c r="K48" s="9" t="s">
        <v>91</v>
      </c>
      <c r="L48" s="9" t="s">
        <v>247</v>
      </c>
      <c r="M48" s="11" t="s">
        <v>51</v>
      </c>
      <c r="N48" s="11"/>
      <c r="O48" s="11"/>
      <c r="P48" s="11"/>
    </row>
  </sheetData>
  <autoFilter ref="A1:P48"/>
  <conditionalFormatting sqref="M2:M48">
    <cfRule type="cellIs" priority="2" operator="equal" aboveAverage="0" equalAverage="0" bottom="0" percent="0" rank="0" text="" dxfId="4">
      <formula>"Granted"</formula>
    </cfRule>
    <cfRule type="cellIs" priority="3" operator="equal" aboveAverage="0" equalAverage="0" bottom="0" percent="0" rank="0" text="" dxfId="5">
      <formula>"Blocked"</formula>
    </cfRule>
  </conditionalFormatting>
  <dataValidations count="1">
    <dataValidation allowBlank="true" errorStyle="stop" operator="between" showDropDown="false" showErrorMessage="false" showInputMessage="false" sqref="M2:M48" type="list">
      <formula1>"Requested,In progress,Granted,Blocked,Not needed"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30"/>
  </cols>
  <sheetData>
    <row r="1" customFormat="false" ht="15" hidden="false" customHeight="false" outlineLevel="0" collapsed="false">
      <c r="A1" s="4" t="s">
        <v>248</v>
      </c>
      <c r="B1" s="4" t="s">
        <v>33</v>
      </c>
      <c r="C1" s="4" t="s">
        <v>34</v>
      </c>
      <c r="D1" s="4" t="s">
        <v>35</v>
      </c>
      <c r="E1" s="4" t="s">
        <v>36</v>
      </c>
    </row>
    <row r="2" customFormat="false" ht="15" hidden="false" customHeight="false" outlineLevel="0" collapsed="false">
      <c r="A2" s="5" t="s">
        <v>249</v>
      </c>
      <c r="B2" s="12"/>
      <c r="C2" s="12"/>
      <c r="D2" s="12"/>
      <c r="E2" s="12"/>
    </row>
    <row r="3" customFormat="false" ht="15" hidden="false" customHeight="false" outlineLevel="0" collapsed="false">
      <c r="A3" s="5" t="s">
        <v>250</v>
      </c>
      <c r="B3" s="12"/>
      <c r="C3" s="12"/>
      <c r="D3" s="12"/>
      <c r="E3" s="12"/>
    </row>
    <row r="4" customFormat="false" ht="15" hidden="false" customHeight="false" outlineLevel="0" collapsed="false">
      <c r="A4" s="5" t="s">
        <v>251</v>
      </c>
      <c r="B4" s="12"/>
      <c r="C4" s="12"/>
      <c r="D4" s="12"/>
      <c r="E4" s="12"/>
    </row>
    <row r="5" customFormat="false" ht="15" hidden="false" customHeight="false" outlineLevel="0" collapsed="false">
      <c r="A5" s="5" t="s">
        <v>252</v>
      </c>
      <c r="B5" s="12"/>
      <c r="C5" s="12"/>
      <c r="D5" s="12"/>
      <c r="E5" s="12"/>
    </row>
    <row r="6" customFormat="false" ht="15" hidden="false" customHeight="false" outlineLevel="0" collapsed="false">
      <c r="A6" s="5" t="s">
        <v>253</v>
      </c>
      <c r="B6" s="12"/>
      <c r="C6" s="12"/>
      <c r="D6" s="12"/>
      <c r="E6" s="12"/>
    </row>
    <row r="7" customFormat="false" ht="15" hidden="false" customHeight="false" outlineLevel="0" collapsed="false">
      <c r="A7" s="5" t="s">
        <v>254</v>
      </c>
      <c r="B7" s="13" t="s">
        <v>255</v>
      </c>
      <c r="C7" s="12"/>
      <c r="D7" s="12"/>
      <c r="E7" s="12"/>
    </row>
    <row r="8" customFormat="false" ht="15" hidden="false" customHeight="false" outlineLevel="0" collapsed="false">
      <c r="A8" s="5" t="s">
        <v>256</v>
      </c>
      <c r="B8" s="12"/>
      <c r="C8" s="12"/>
      <c r="D8" s="12"/>
      <c r="E8" s="12"/>
    </row>
    <row r="9" customFormat="false" ht="15" hidden="false" customHeight="false" outlineLevel="0" collapsed="false">
      <c r="A9" s="5" t="s">
        <v>257</v>
      </c>
      <c r="B9" s="12"/>
      <c r="C9" s="12"/>
      <c r="D9" s="12"/>
      <c r="E9" s="12"/>
    </row>
    <row r="10" customFormat="false" ht="15" hidden="false" customHeight="false" outlineLevel="0" collapsed="false">
      <c r="A10" s="5" t="s">
        <v>258</v>
      </c>
      <c r="B10" s="13" t="s">
        <v>259</v>
      </c>
      <c r="C10" s="12"/>
      <c r="D10" s="12"/>
      <c r="E10" s="12"/>
    </row>
    <row r="11" customFormat="false" ht="15" hidden="false" customHeight="false" outlineLevel="0" collapsed="false">
      <c r="A11" s="5" t="s">
        <v>260</v>
      </c>
      <c r="B11" s="13" t="s">
        <v>261</v>
      </c>
      <c r="C11" s="12"/>
      <c r="D11" s="12"/>
      <c r="E11" s="12"/>
    </row>
    <row r="12" customFormat="false" ht="15" hidden="false" customHeight="false" outlineLevel="0" collapsed="false">
      <c r="A12" s="5" t="s">
        <v>262</v>
      </c>
      <c r="B12" s="12"/>
      <c r="C12" s="12"/>
      <c r="D12" s="12"/>
      <c r="E12" s="12"/>
    </row>
    <row r="13" customFormat="false" ht="15" hidden="false" customHeight="false" outlineLevel="0" collapsed="false">
      <c r="A13" s="5" t="s">
        <v>263</v>
      </c>
      <c r="B13" s="12"/>
      <c r="C13" s="12"/>
      <c r="D13" s="12"/>
      <c r="E13" s="12"/>
    </row>
    <row r="14" customFormat="false" ht="15" hidden="false" customHeight="false" outlineLevel="0" collapsed="false">
      <c r="A14" s="5" t="s">
        <v>264</v>
      </c>
      <c r="B14" s="12"/>
      <c r="C14" s="12"/>
      <c r="D14" s="12"/>
      <c r="E14" s="12"/>
    </row>
    <row r="15" customFormat="false" ht="15" hidden="false" customHeight="false" outlineLevel="0" collapsed="false">
      <c r="A15" s="5" t="s">
        <v>265</v>
      </c>
      <c r="B15" s="12"/>
      <c r="C15" s="12"/>
      <c r="D15" s="12"/>
      <c r="E15" s="12"/>
    </row>
    <row r="17" customFormat="false" ht="15" hidden="false" customHeight="false" outlineLevel="0" collapsed="false">
      <c r="A17" s="6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4" t="s">
        <v>30</v>
      </c>
      <c r="B1" s="4" t="s">
        <v>267</v>
      </c>
      <c r="C1" s="4" t="s">
        <v>268</v>
      </c>
      <c r="D1" s="4" t="s">
        <v>269</v>
      </c>
      <c r="E1" s="4" t="s">
        <v>270</v>
      </c>
    </row>
    <row r="2" customFormat="false" ht="23.85" hidden="false" customHeight="false" outlineLevel="0" collapsed="false">
      <c r="A2" s="8" t="s">
        <v>271</v>
      </c>
      <c r="B2" s="9" t="s">
        <v>272</v>
      </c>
      <c r="C2" s="9" t="s">
        <v>273</v>
      </c>
      <c r="D2" s="9" t="s">
        <v>274</v>
      </c>
      <c r="E2" s="11"/>
    </row>
    <row r="3" customFormat="false" ht="23.85" hidden="false" customHeight="false" outlineLevel="0" collapsed="false">
      <c r="A3" s="8" t="s">
        <v>275</v>
      </c>
      <c r="B3" s="9" t="s">
        <v>276</v>
      </c>
      <c r="C3" s="9" t="s">
        <v>277</v>
      </c>
      <c r="D3" s="9" t="s">
        <v>278</v>
      </c>
      <c r="E3" s="11"/>
    </row>
    <row r="4" customFormat="false" ht="23.85" hidden="false" customHeight="false" outlineLevel="0" collapsed="false">
      <c r="A4" s="8" t="s">
        <v>279</v>
      </c>
      <c r="B4" s="9" t="s">
        <v>280</v>
      </c>
      <c r="C4" s="9" t="s">
        <v>281</v>
      </c>
      <c r="D4" s="9" t="s">
        <v>282</v>
      </c>
      <c r="E4" s="11"/>
    </row>
    <row r="5" customFormat="false" ht="23.85" hidden="false" customHeight="false" outlineLevel="0" collapsed="false">
      <c r="A5" s="8" t="s">
        <v>283</v>
      </c>
      <c r="B5" s="9" t="s">
        <v>284</v>
      </c>
      <c r="C5" s="9" t="s">
        <v>285</v>
      </c>
      <c r="D5" s="9" t="s">
        <v>286</v>
      </c>
      <c r="E5" s="11"/>
    </row>
    <row r="6" customFormat="false" ht="15" hidden="false" customHeight="false" outlineLevel="0" collapsed="false">
      <c r="A6" s="8" t="s">
        <v>287</v>
      </c>
      <c r="B6" s="9" t="s">
        <v>288</v>
      </c>
      <c r="C6" s="9" t="s">
        <v>139</v>
      </c>
      <c r="D6" s="9" t="s">
        <v>289</v>
      </c>
      <c r="E6" s="11"/>
    </row>
    <row r="7" customFormat="false" ht="23.85" hidden="false" customHeight="false" outlineLevel="0" collapsed="false">
      <c r="A7" s="8" t="s">
        <v>290</v>
      </c>
      <c r="B7" s="9" t="s">
        <v>291</v>
      </c>
      <c r="C7" s="9" t="s">
        <v>292</v>
      </c>
      <c r="D7" s="9" t="s">
        <v>293</v>
      </c>
      <c r="E7" s="11"/>
    </row>
    <row r="8" customFormat="false" ht="23.85" hidden="false" customHeight="false" outlineLevel="0" collapsed="false">
      <c r="A8" s="8" t="s">
        <v>294</v>
      </c>
      <c r="B8" s="9" t="s">
        <v>295</v>
      </c>
      <c r="C8" s="9" t="s">
        <v>296</v>
      </c>
      <c r="D8" s="9" t="s">
        <v>15</v>
      </c>
      <c r="E8" s="11"/>
    </row>
    <row r="9" customFormat="false" ht="23.85" hidden="false" customHeight="false" outlineLevel="0" collapsed="false">
      <c r="A9" s="8" t="s">
        <v>297</v>
      </c>
      <c r="B9" s="9" t="s">
        <v>298</v>
      </c>
      <c r="C9" s="9" t="s">
        <v>299</v>
      </c>
      <c r="D9" s="9" t="s">
        <v>300</v>
      </c>
      <c r="E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2026-10-24T02:35:01Z</dcterms:created>
  <dc:creator>openpyxl</dc:creator>
  <dc:description/>
  <dc:language>en-US</dc:language>
  <cp:lastModifiedBy/>
  <dcterms:modified xsi:type="dcterms:W3CDTF">2026-10-24T02:35:01Z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